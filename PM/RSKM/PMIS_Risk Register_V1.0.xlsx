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828"/>
  <workbookPr defaultThemeVersion="124226"/>
  <mc:AlternateContent xmlns:mc="http://schemas.openxmlformats.org/markup-compatibility/2006">
    <mc:Choice Requires="x15">
      <x15ac:absPath xmlns:x15ac="http://schemas.microsoft.com/office/spreadsheetml/2010/11/ac" url="C:\Users\vshukla\Desktop\New folder (5)\"/>
    </mc:Choice>
  </mc:AlternateContent>
  <bookViews>
    <workbookView xWindow="0" yWindow="0" windowWidth="20490" windowHeight="7530" activeTab="2"/>
  </bookViews>
  <sheets>
    <sheet name="Instruction" sheetId="11" r:id="rId1"/>
    <sheet name="Chart1" sheetId="12" r:id="rId2"/>
    <sheet name="Risk Register" sheetId="8" r:id="rId3"/>
    <sheet name="ListVal (2)" sheetId="9" r:id="rId4"/>
  </sheets>
  <externalReferences>
    <externalReference r:id="rId5"/>
    <externalReference r:id="rId6"/>
    <externalReference r:id="rId7"/>
  </externalReferences>
  <definedNames>
    <definedName name="Category">'ListVal (2)'!$B$2:$B$34</definedName>
    <definedName name="Source">[1]ListVal!$B$2:$B$33</definedName>
    <definedName name="Sources" localSheetId="3">'ListVal (2)'!$B$2:$B$37</definedName>
    <definedName name="Sources">[2]ListVal!$B$2:$B$36</definedName>
    <definedName name="Status" localSheetId="3">'ListVal (2)'!$C$2:$C$4</definedName>
    <definedName name="Status">[2]ListVal!$C$2:$C$4</definedName>
    <definedName name="Status1">[3]ListVal!$C$2:$C$4</definedName>
    <definedName name="Strategy" localSheetId="3">'ListVal (2)'!$D$2:$D$9</definedName>
    <definedName name="Strategy">[2]ListVal!$D$2:$D$9</definedName>
  </definedNames>
  <calcPr calcId="171027"/>
</workbook>
</file>

<file path=xl/calcChain.xml><?xml version="1.0" encoding="utf-8"?>
<calcChain xmlns="http://schemas.openxmlformats.org/spreadsheetml/2006/main">
  <c r="J14" i="8" l="1"/>
  <c r="K14" i="8" s="1"/>
  <c r="L14" i="8" s="1"/>
  <c r="J13" i="8" l="1"/>
  <c r="K13" i="8" s="1"/>
  <c r="L13" i="8" s="1"/>
  <c r="J12" i="8"/>
  <c r="K12" i="8" s="1"/>
  <c r="L12" i="8" s="1"/>
  <c r="J11" i="8"/>
  <c r="K11" i="8" s="1"/>
  <c r="L11" i="8" s="1"/>
  <c r="J10" i="8"/>
  <c r="K10" i="8" s="1"/>
  <c r="L10" i="8" s="1"/>
  <c r="J9" i="8"/>
  <c r="K9" i="8" s="1"/>
  <c r="L9" i="8" s="1"/>
  <c r="J8" i="8"/>
  <c r="K8" i="8" s="1"/>
  <c r="L8" i="8" s="1"/>
  <c r="J7" i="8"/>
  <c r="K7" i="8" s="1"/>
  <c r="L7" i="8" s="1"/>
  <c r="J6" i="8"/>
  <c r="K6" i="8" s="1"/>
  <c r="L6" i="8" s="1"/>
  <c r="J5" i="8"/>
  <c r="K5" i="8" s="1"/>
  <c r="L5" i="8" s="1"/>
</calcChain>
</file>

<file path=xl/sharedStrings.xml><?xml version="1.0" encoding="utf-8"?>
<sst xmlns="http://schemas.openxmlformats.org/spreadsheetml/2006/main" count="168" uniqueCount="139">
  <si>
    <t>Status</t>
  </si>
  <si>
    <t>Impact</t>
  </si>
  <si>
    <t>Project / Engagement / Function Name:</t>
  </si>
  <si>
    <t>Responsible Person for tracking and addressing the risk:</t>
  </si>
  <si>
    <t>Risk ID</t>
  </si>
  <si>
    <t>Probability</t>
  </si>
  <si>
    <t>Risk Handling Approach</t>
  </si>
  <si>
    <t>Action Taken</t>
  </si>
  <si>
    <t>Mitigate</t>
  </si>
  <si>
    <t>Category</t>
  </si>
  <si>
    <t>Risks that remain after planned responses have been taken, including accepted risks</t>
  </si>
  <si>
    <t>Residual Risks</t>
  </si>
  <si>
    <t>Business Continuity</t>
  </si>
  <si>
    <t>Info security</t>
  </si>
  <si>
    <t>Take no strategic actions</t>
  </si>
  <si>
    <t>Accept (Passively)</t>
  </si>
  <si>
    <t>Performance</t>
  </si>
  <si>
    <t>Take no strategic actions except building contingency reserve of time, money, resource</t>
  </si>
  <si>
    <t>Accept (Actively)</t>
  </si>
  <si>
    <t>HR</t>
  </si>
  <si>
    <t>Actions that will decrease probability/impact</t>
  </si>
  <si>
    <t>Cost</t>
  </si>
  <si>
    <t>Transfer to third party</t>
  </si>
  <si>
    <t>Transfer</t>
  </si>
  <si>
    <t>Schedule</t>
  </si>
  <si>
    <t>Actions to ensure threat cannot occur by avoiding the project/scenario</t>
  </si>
  <si>
    <t>Avoid</t>
  </si>
  <si>
    <t>Scope Volatility</t>
  </si>
  <si>
    <t>Description</t>
  </si>
  <si>
    <t>Strategy</t>
  </si>
  <si>
    <t>Risk Categories (or RBS)</t>
  </si>
  <si>
    <t>For each risk identified the likelihood that the event will occur. The likelihood of occurrence can be categorized as:</t>
  </si>
  <si>
    <t>Rating</t>
  </si>
  <si>
    <t>Version History:</t>
  </si>
  <si>
    <t>S.No</t>
  </si>
  <si>
    <t>Version No</t>
  </si>
  <si>
    <t>Prepared By</t>
  </si>
  <si>
    <t>Date</t>
  </si>
  <si>
    <t>Approved By</t>
  </si>
  <si>
    <t>Score</t>
  </si>
  <si>
    <t>Event that has a greater than 75% chance of occurring</t>
  </si>
  <si>
    <t>Event that has between a 51 – 75% chance of occurring</t>
  </si>
  <si>
    <t>Risk analysis is an evaluation of the identified risk events to determine the likelihood of the events occurring and their impact, to assign a risk rating based on the project criteria and to prioritize the risks.</t>
  </si>
  <si>
    <t>Probability (P) Levels</t>
  </si>
  <si>
    <t>Event that has a 0 – 10% chance of occurring</t>
  </si>
  <si>
    <t>Event that has between a 10 – 20% chance of occurring</t>
  </si>
  <si>
    <t>Event that has between a 20 – 50% chance of occurring</t>
  </si>
  <si>
    <t>Near certainty</t>
  </si>
  <si>
    <t>Highly likely</t>
  </si>
  <si>
    <t>Likely</t>
  </si>
  <si>
    <t>Unlikely</t>
  </si>
  <si>
    <t>Remote</t>
  </si>
  <si>
    <t>Showstopper</t>
  </si>
  <si>
    <t>The effect is catastrophic; the organization may face significant loss and impact. The project will fail.</t>
  </si>
  <si>
    <t>Critical</t>
  </si>
  <si>
    <t>The impact is serious and the project may be largely affected due to the risk. There could be huge delays and the project could be postponed due to it.</t>
  </si>
  <si>
    <t>Marginal</t>
  </si>
  <si>
    <t>The risks could affect in small delays in schedule .</t>
  </si>
  <si>
    <t>Negligible</t>
  </si>
  <si>
    <t>The impact of these risks on the project could be minimal.</t>
  </si>
  <si>
    <t>1 - (R)emote</t>
  </si>
  <si>
    <t>1 - (N)egligible</t>
  </si>
  <si>
    <t>2 - (U)nlikely</t>
  </si>
  <si>
    <t>2 - (M)arginal</t>
  </si>
  <si>
    <t>3 - (L)ikely</t>
  </si>
  <si>
    <t>3 - (C)ritical</t>
  </si>
  <si>
    <t>4 - (H)ighly likely</t>
  </si>
  <si>
    <t>4 - (S)howstopper</t>
  </si>
  <si>
    <t>5 - (N)ear certainty</t>
  </si>
  <si>
    <t>Abhishek</t>
  </si>
  <si>
    <t>Sudhir Sexana</t>
  </si>
  <si>
    <t>Rahul</t>
  </si>
  <si>
    <t>Dhananjay Kr.</t>
  </si>
  <si>
    <t>Guidelines for using the Asset Risk Register Sheet</t>
  </si>
  <si>
    <t>For each risk event, the following risk analysis guidelines can be used:</t>
  </si>
  <si>
    <t>NST Asset Risk Register Sheet</t>
  </si>
  <si>
    <t>Last Update on</t>
  </si>
  <si>
    <t>Vulnerability (Impact)value</t>
  </si>
  <si>
    <t>The vulnerability of each risk are attributed to a characterization value as follows:</t>
  </si>
  <si>
    <r>
      <t xml:space="preserve">After the probability and impact for the risks have been assigned, the risk level\value needs to be determined. A risk can be categorized based on the risk level which is a product of the numeric values of Probability and Impact. The higher the risk level the higher its priority. 
</t>
    </r>
    <r>
      <rPr>
        <b/>
        <sz val="10"/>
        <rFont val="Arial"/>
        <family val="2"/>
      </rPr>
      <t>For Asset the risk level is calculated as per the table given below:</t>
    </r>
  </si>
  <si>
    <t>Risk Value = (probability of event)  + ( Vulnerability) +(CIA Value)</t>
  </si>
  <si>
    <t>Vulnerability (V) Values</t>
  </si>
  <si>
    <t>CIA Value (C)</t>
  </si>
  <si>
    <t>Risk Values (P+I+C)</t>
  </si>
  <si>
    <t>1- Low</t>
  </si>
  <si>
    <t>3 to 5 - Normal/Trivial</t>
  </si>
  <si>
    <t>2- Medium</t>
  </si>
  <si>
    <t>6 to 7 - Low</t>
  </si>
  <si>
    <t>3- High</t>
  </si>
  <si>
    <t>8 to 10 - Medium</t>
  </si>
  <si>
    <t>11 to 12 - High</t>
  </si>
  <si>
    <t xml:space="preserve">Risk Level Value definition </t>
  </si>
  <si>
    <r>
      <t>3 to 5:</t>
    </r>
    <r>
      <rPr>
        <sz val="12"/>
        <color theme="1"/>
        <rFont val="Times New Roman"/>
        <family val="1"/>
      </rPr>
      <t xml:space="preserve"> No action required</t>
    </r>
  </si>
  <si>
    <r>
      <t>6 to 7:</t>
    </r>
    <r>
      <rPr>
        <sz val="12"/>
        <color theme="1"/>
        <rFont val="Times New Roman"/>
        <family val="1"/>
      </rPr>
      <t xml:space="preserve"> To be reviewed regularly and Organization will accept risk up to this level</t>
    </r>
  </si>
  <si>
    <r>
      <t>8 to 10:</t>
    </r>
    <r>
      <rPr>
        <sz val="12"/>
        <color theme="1"/>
        <rFont val="Times New Roman"/>
        <family val="1"/>
      </rPr>
      <t xml:space="preserve"> Medium level risk, mitigation to be planned in a period of six months. But in case of project, period may be vary on the basis of project duration</t>
    </r>
  </si>
  <si>
    <r>
      <t>11 to 12:</t>
    </r>
    <r>
      <rPr>
        <sz val="12"/>
        <color theme="1"/>
        <rFont val="Times New Roman"/>
        <family val="1"/>
      </rPr>
      <t xml:space="preserve"> High Level risk, Mitigation immediately required</t>
    </r>
  </si>
  <si>
    <t>PM</t>
  </si>
  <si>
    <t>Risks</t>
  </si>
  <si>
    <t>Asset Value</t>
  </si>
  <si>
    <t>Risk Value</t>
  </si>
  <si>
    <t>Assigned To</t>
  </si>
  <si>
    <t>Action Date(MM/DD/YYYY)</t>
  </si>
  <si>
    <t>C</t>
  </si>
  <si>
    <t>I</t>
  </si>
  <si>
    <t>A</t>
  </si>
  <si>
    <t>Final</t>
  </si>
  <si>
    <t>Inactive</t>
  </si>
  <si>
    <t>Few resources are planned for other projects also. So backup plan is needed in case any resource get shifted to other project</t>
  </si>
  <si>
    <t>Last updated on :</t>
  </si>
  <si>
    <t>Mitigation Plan</t>
  </si>
  <si>
    <t>Risk Identification Date</t>
  </si>
  <si>
    <t>Business Process</t>
  </si>
  <si>
    <t>Software Development Process</t>
  </si>
  <si>
    <t>Quality Process</t>
  </si>
  <si>
    <t>Property Management Information System (PMIS)</t>
  </si>
  <si>
    <t xml:space="preserve">Risk related to </t>
  </si>
  <si>
    <t>The authenticity of the record cannot be ascertained from the converted record</t>
  </si>
  <si>
    <t>Digitization</t>
  </si>
  <si>
    <t>A full and accurate record may not result from the digitising process, e.g. pages missing</t>
  </si>
  <si>
    <t>Converted records may be large in file size causing a slow response time to view from the desktop</t>
  </si>
  <si>
    <t>Security of converted records may be compromised due to the ease with which electronic documents are copied and disseminated</t>
  </si>
  <si>
    <t>Converted records may be lost due to hardware failure or disaster</t>
  </si>
  <si>
    <t>Organisational resistance to acceptance of digitised information as a official record</t>
  </si>
  <si>
    <r>
      <t xml:space="preserve">Processes  and metadata standards should be implemented as outlined in the </t>
    </r>
    <r>
      <rPr>
        <i/>
        <sz val="9"/>
        <rFont val="Calibri"/>
        <family val="2"/>
      </rPr>
      <t>Management Plan for the Converted Records</t>
    </r>
  </si>
  <si>
    <r>
      <t xml:space="preserve">Processes  and security controls should be implemented as outlined in the </t>
    </r>
    <r>
      <rPr>
        <i/>
        <sz val="9"/>
        <rFont val="Calibri"/>
        <family val="2"/>
      </rPr>
      <t>Management Plan for the Converted Records</t>
    </r>
    <r>
      <rPr>
        <sz val="9"/>
        <rFont val="Calibri"/>
        <family val="2"/>
      </rPr>
      <t xml:space="preserve"> </t>
    </r>
  </si>
  <si>
    <r>
      <t xml:space="preserve">Backup and restore processes outlined in the </t>
    </r>
    <r>
      <rPr>
        <i/>
        <sz val="9"/>
        <rFont val="Calibri"/>
        <family val="2"/>
      </rPr>
      <t>Management Plan for the Converted Records</t>
    </r>
    <r>
      <rPr>
        <sz val="9"/>
        <rFont val="Calibri"/>
        <family val="2"/>
      </rPr>
      <t xml:space="preserve"> </t>
    </r>
  </si>
  <si>
    <t>Education, promotion &amp; training.  Active endorsement from Management</t>
  </si>
  <si>
    <t>Application Development</t>
  </si>
  <si>
    <t>Poor capture of full User requirements. 
Failure to meet minimum requirements.Failure to achieve business benefits. Need to rework solution after rollout.Failed delivery</t>
  </si>
  <si>
    <t>Lack of Academic and Departmental buy-in
Failure to achieve business benefits.
Ineffective work practices. More fragmented processes. Poor Communication.</t>
  </si>
  <si>
    <t xml:space="preserve">Revised business processes before constructing user spec. </t>
  </si>
  <si>
    <t>Poor business processes
A system based on over-complicated, badly engineered business processes will itself be over-complicated and badly engineered</t>
  </si>
  <si>
    <t>maintain a log book for Incoming and out going files  from the Record Room department and get it signed by the record room incharge.
Maintained record of scanned pages in the file in excel format</t>
  </si>
  <si>
    <t>Vishal Shukla</t>
  </si>
  <si>
    <t>Back up plan has been definedin PMP</t>
  </si>
  <si>
    <t xml:space="preserve">Focus on capturing user specific Requirements at the begining of project. 
Involve experienced BA with good dececision making ability and delivery commitment on time.
Accountable process owners.                               
</t>
  </si>
  <si>
    <t>Hired Experienced  BA for this project
Make Accountable in RACI Matrix</t>
  </si>
  <si>
    <t>Large source records may be split to facilitate smaller electronic records being created, as per the Digitisation Processing Plan. Software and hardware may need to be upgraded and additional memory purchased.</t>
  </si>
  <si>
    <t xml:space="preserve">Ensure User Requirements are properly assessed. 
Invlove Subject matter expert into Requirment Gathering. 
Communications and planning focus.
Appoint Project Manager for client communication.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</si>
</sst>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m/d/yy;@"/>
    <numFmt numFmtId="166" formatCode="[$-409]d\-mmm\-yy;@"/>
  </numFmts>
  <fonts count="22" x14ac:knownFonts="1">
    <font>
      <sz val="10"/>
      <name val="Arial"/>
    </font>
    <font>
      <sz val="11"/>
      <color theme="1"/>
      <name val="Calibri"/>
      <family val="2"/>
      <scheme val="minor"/>
    </font>
    <font>
      <sz val="11"/>
      <color theme="1"/>
      <name val="Calibri"/>
      <family val="2"/>
      <scheme val="minor"/>
    </font>
    <font>
      <sz val="8"/>
      <name val="Arial"/>
      <family val="2"/>
    </font>
    <font>
      <b/>
      <sz val="9"/>
      <name val="Arial"/>
      <family val="2"/>
    </font>
    <font>
      <sz val="9"/>
      <name val="Arial"/>
      <family val="2"/>
    </font>
    <font>
      <b/>
      <sz val="9"/>
      <color indexed="12"/>
      <name val="Arial"/>
      <family val="2"/>
    </font>
    <font>
      <b/>
      <sz val="10"/>
      <name val="Arial"/>
      <family val="2"/>
    </font>
    <font>
      <sz val="10"/>
      <name val="Arial"/>
      <family val="2"/>
    </font>
    <font>
      <b/>
      <sz val="14"/>
      <name val="Arial"/>
      <family val="2"/>
    </font>
    <font>
      <b/>
      <sz val="10"/>
      <color rgb="FFFFFFFF"/>
      <name val="Arial"/>
      <family val="2"/>
    </font>
    <font>
      <sz val="10"/>
      <color rgb="FFFFFFFF"/>
      <name val="Arial"/>
      <family val="2"/>
    </font>
    <font>
      <b/>
      <sz val="11"/>
      <color theme="1"/>
      <name val="Calibri"/>
      <family val="2"/>
      <scheme val="minor"/>
    </font>
    <font>
      <sz val="10"/>
      <color theme="1"/>
      <name val="Arial"/>
      <family val="2"/>
    </font>
    <font>
      <b/>
      <sz val="11"/>
      <color theme="0"/>
      <name val="Calibri"/>
      <family val="2"/>
      <scheme val="minor"/>
    </font>
    <font>
      <b/>
      <sz val="12"/>
      <color theme="1"/>
      <name val="Times New Roman"/>
      <family val="1"/>
    </font>
    <font>
      <b/>
      <sz val="10"/>
      <color theme="0"/>
      <name val="Arial"/>
      <family val="2"/>
    </font>
    <font>
      <b/>
      <u/>
      <sz val="12"/>
      <color theme="1"/>
      <name val="Times New Roman"/>
      <family val="1"/>
    </font>
    <font>
      <sz val="12"/>
      <color theme="1"/>
      <name val="Times New Roman"/>
      <family val="1"/>
    </font>
    <font>
      <b/>
      <sz val="10"/>
      <color indexed="8"/>
      <name val="Cambria"/>
      <family val="1"/>
      <scheme val="major"/>
    </font>
    <font>
      <sz val="9"/>
      <name val="Calibri"/>
      <family val="2"/>
    </font>
    <font>
      <i/>
      <sz val="9"/>
      <name val="Calibri"/>
      <family val="2"/>
    </font>
  </fonts>
  <fills count="13">
    <fill>
      <patternFill patternType="none"/>
    </fill>
    <fill>
      <patternFill patternType="gray125"/>
    </fill>
    <fill>
      <patternFill patternType="solid">
        <fgColor indexed="43"/>
        <bgColor indexed="64"/>
      </patternFill>
    </fill>
    <fill>
      <patternFill patternType="solid">
        <fgColor rgb="FF4F81BD"/>
        <bgColor indexed="64"/>
      </patternFill>
    </fill>
    <fill>
      <patternFill patternType="solid">
        <fgColor rgb="FFDBE5F1"/>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rgb="FFC2D69A"/>
        <bgColor indexed="64"/>
      </patternFill>
    </fill>
    <fill>
      <patternFill patternType="solid">
        <fgColor theme="0" tint="-4.9989318521683403E-2"/>
        <bgColor indexed="8"/>
      </patternFill>
    </fill>
    <fill>
      <patternFill patternType="solid">
        <fgColor theme="0" tint="-4.9989318521683403E-2"/>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2" fillId="0" borderId="0"/>
  </cellStyleXfs>
  <cellXfs count="126">
    <xf numFmtId="0" fontId="0" fillId="0" borderId="0" xfId="0"/>
    <xf numFmtId="0" fontId="2" fillId="0" borderId="0" xfId="1"/>
    <xf numFmtId="0" fontId="8" fillId="0" borderId="0" xfId="0" applyFont="1"/>
    <xf numFmtId="0" fontId="8" fillId="0" borderId="0" xfId="0" applyFont="1" applyAlignment="1"/>
    <xf numFmtId="0" fontId="0" fillId="0" borderId="10" xfId="0" applyFill="1" applyBorder="1"/>
    <xf numFmtId="0" fontId="0" fillId="0" borderId="0" xfId="0" applyFill="1" applyBorder="1"/>
    <xf numFmtId="0" fontId="0" fillId="0" borderId="0" xfId="0" applyFill="1" applyBorder="1" applyAlignment="1"/>
    <xf numFmtId="0" fontId="0" fillId="0" borderId="10" xfId="0" applyBorder="1"/>
    <xf numFmtId="0" fontId="0" fillId="0" borderId="0" xfId="0" applyBorder="1"/>
    <xf numFmtId="0" fontId="0" fillId="0" borderId="3" xfId="0" applyBorder="1"/>
    <xf numFmtId="0" fontId="0" fillId="0" borderId="3" xfId="0" applyFill="1" applyBorder="1"/>
    <xf numFmtId="0" fontId="7" fillId="0" borderId="0" xfId="0" applyFont="1" applyBorder="1"/>
    <xf numFmtId="0" fontId="7" fillId="0" borderId="0" xfId="0" applyFont="1" applyFill="1" applyBorder="1" applyAlignment="1">
      <alignment horizontal="center"/>
    </xf>
    <xf numFmtId="0" fontId="8" fillId="0" borderId="0" xfId="0" applyFont="1" applyFill="1" applyBorder="1" applyAlignment="1">
      <alignment horizontal="center"/>
    </xf>
    <xf numFmtId="0" fontId="0" fillId="0" borderId="0" xfId="0" applyFill="1"/>
    <xf numFmtId="166" fontId="0" fillId="0" borderId="7" xfId="0" applyNumberFormat="1" applyBorder="1" applyAlignment="1">
      <alignment horizontal="center" vertical="center" wrapText="1"/>
    </xf>
    <xf numFmtId="166" fontId="5" fillId="0" borderId="7" xfId="0" applyNumberFormat="1" applyFont="1" applyBorder="1" applyAlignment="1">
      <alignment horizontal="center" vertical="center" wrapText="1"/>
    </xf>
    <xf numFmtId="166" fontId="5" fillId="0" borderId="8" xfId="0" applyNumberFormat="1" applyFont="1" applyBorder="1" applyAlignment="1">
      <alignment horizontal="center" vertical="center" wrapText="1"/>
    </xf>
    <xf numFmtId="0" fontId="10" fillId="3" borderId="13" xfId="0" applyFont="1" applyFill="1" applyBorder="1" applyAlignment="1">
      <alignment vertical="top" wrapText="1"/>
    </xf>
    <xf numFmtId="0" fontId="10" fillId="3" borderId="14" xfId="0" applyFont="1" applyFill="1" applyBorder="1" applyAlignment="1">
      <alignment vertical="top" wrapText="1"/>
    </xf>
    <xf numFmtId="0" fontId="3" fillId="4" borderId="15" xfId="0" applyFont="1" applyFill="1" applyBorder="1" applyAlignment="1">
      <alignment horizontal="left" vertical="top" wrapText="1" indent="1"/>
    </xf>
    <xf numFmtId="0" fontId="3" fillId="4" borderId="16" xfId="0" applyFont="1" applyFill="1" applyBorder="1" applyAlignment="1">
      <alignment horizontal="left" vertical="top" wrapText="1" indent="1"/>
    </xf>
    <xf numFmtId="0" fontId="3" fillId="4" borderId="16" xfId="0" applyFont="1" applyFill="1" applyBorder="1" applyAlignment="1">
      <alignment horizontal="center" wrapText="1"/>
    </xf>
    <xf numFmtId="0" fontId="11" fillId="3" borderId="13" xfId="0" applyFont="1" applyFill="1" applyBorder="1" applyAlignment="1">
      <alignment vertical="top" wrapText="1"/>
    </xf>
    <xf numFmtId="0" fontId="11" fillId="3" borderId="14" xfId="0" applyFont="1" applyFill="1" applyBorder="1" applyAlignment="1">
      <alignment vertical="top" wrapText="1"/>
    </xf>
    <xf numFmtId="0" fontId="0" fillId="0" borderId="9" xfId="0" applyFill="1" applyBorder="1"/>
    <xf numFmtId="0" fontId="7" fillId="0" borderId="7" xfId="0" applyFont="1" applyBorder="1" applyAlignment="1">
      <alignment horizontal="center"/>
    </xf>
    <xf numFmtId="0" fontId="8" fillId="0" borderId="7" xfId="0" applyFont="1" applyBorder="1"/>
    <xf numFmtId="0" fontId="8" fillId="0" borderId="7" xfId="0" applyFont="1" applyBorder="1" applyAlignment="1">
      <alignment horizontal="center"/>
    </xf>
    <xf numFmtId="0" fontId="8" fillId="0" borderId="7" xfId="0" applyFont="1" applyFill="1" applyBorder="1" applyAlignment="1">
      <alignment horizontal="center"/>
    </xf>
    <xf numFmtId="0" fontId="0" fillId="0" borderId="7" xfId="0" applyBorder="1"/>
    <xf numFmtId="164" fontId="8" fillId="0" borderId="7" xfId="0" applyNumberFormat="1" applyFont="1" applyBorder="1" applyAlignment="1">
      <alignment horizontal="center"/>
    </xf>
    <xf numFmtId="164" fontId="0" fillId="0" borderId="7" xfId="0" applyNumberFormat="1" applyBorder="1" applyAlignment="1">
      <alignment horizontal="center"/>
    </xf>
    <xf numFmtId="0" fontId="7" fillId="0" borderId="11" xfId="0" applyFont="1" applyFill="1" applyBorder="1"/>
    <xf numFmtId="0" fontId="8" fillId="0" borderId="3" xfId="0" applyFont="1" applyBorder="1" applyAlignment="1">
      <alignment wrapText="1"/>
    </xf>
    <xf numFmtId="0" fontId="8" fillId="0" borderId="0" xfId="0" applyFont="1" applyBorder="1" applyAlignment="1">
      <alignment wrapText="1"/>
    </xf>
    <xf numFmtId="0" fontId="7" fillId="0" borderId="8" xfId="0" applyFont="1" applyFill="1" applyBorder="1" applyAlignment="1"/>
    <xf numFmtId="0" fontId="12" fillId="0" borderId="10" xfId="0" applyFont="1" applyFill="1" applyBorder="1" applyAlignment="1"/>
    <xf numFmtId="0" fontId="8" fillId="0" borderId="10" xfId="0" applyFont="1" applyBorder="1" applyAlignment="1">
      <alignment wrapText="1"/>
    </xf>
    <xf numFmtId="0" fontId="13" fillId="0" borderId="10" xfId="0" applyFont="1" applyBorder="1" applyAlignment="1">
      <alignment wrapText="1"/>
    </xf>
    <xf numFmtId="0" fontId="3" fillId="4" borderId="20" xfId="0" applyFont="1" applyFill="1" applyBorder="1" applyAlignment="1">
      <alignment horizontal="left" vertical="top" wrapText="1" indent="1"/>
    </xf>
    <xf numFmtId="0" fontId="3" fillId="4" borderId="21" xfId="0" applyFont="1" applyFill="1" applyBorder="1" applyAlignment="1">
      <alignment horizontal="left" vertical="top" wrapText="1" indent="1"/>
    </xf>
    <xf numFmtId="0" fontId="3" fillId="4" borderId="21" xfId="0" applyFont="1" applyFill="1" applyBorder="1" applyAlignment="1">
      <alignment horizontal="center" wrapText="1"/>
    </xf>
    <xf numFmtId="0" fontId="7" fillId="0" borderId="18" xfId="0" applyFont="1" applyFill="1" applyBorder="1" applyAlignment="1"/>
    <xf numFmtId="0" fontId="0" fillId="0" borderId="18" xfId="0" applyFill="1" applyBorder="1"/>
    <xf numFmtId="0" fontId="9" fillId="0" borderId="12" xfId="0" applyFont="1" applyFill="1" applyBorder="1" applyAlignment="1"/>
    <xf numFmtId="166" fontId="9" fillId="0" borderId="0" xfId="0" applyNumberFormat="1" applyFont="1" applyFill="1" applyBorder="1" applyAlignment="1"/>
    <xf numFmtId="0" fontId="9" fillId="0" borderId="0" xfId="0" applyFont="1" applyFill="1" applyBorder="1" applyAlignment="1"/>
    <xf numFmtId="0" fontId="8" fillId="0" borderId="0" xfId="0" applyFont="1" applyAlignment="1">
      <alignment wrapText="1"/>
    </xf>
    <xf numFmtId="0" fontId="8" fillId="0" borderId="0" xfId="0" applyFont="1" applyFill="1" applyBorder="1"/>
    <xf numFmtId="0" fontId="8" fillId="0" borderId="0" xfId="0" applyFont="1" applyFill="1" applyBorder="1" applyAlignment="1">
      <alignment horizontal="left" indent="4"/>
    </xf>
    <xf numFmtId="0" fontId="13" fillId="0" borderId="0" xfId="0" applyFont="1" applyAlignment="1">
      <alignment vertical="top" wrapText="1"/>
    </xf>
    <xf numFmtId="0" fontId="8" fillId="0" borderId="0" xfId="0" applyFont="1" applyFill="1" applyBorder="1" applyAlignment="1">
      <alignment vertical="top" wrapText="1"/>
    </xf>
    <xf numFmtId="0" fontId="16" fillId="8" borderId="17" xfId="0" applyFont="1" applyFill="1" applyBorder="1" applyAlignment="1">
      <alignment vertical="top" wrapText="1"/>
    </xf>
    <xf numFmtId="0" fontId="13" fillId="0" borderId="25" xfId="0" applyFont="1" applyBorder="1"/>
    <xf numFmtId="0" fontId="13" fillId="0" borderId="25" xfId="0" applyFont="1" applyBorder="1" applyAlignment="1">
      <alignment vertical="top" wrapText="1"/>
    </xf>
    <xf numFmtId="0" fontId="13" fillId="9" borderId="25" xfId="0" applyFont="1" applyFill="1" applyBorder="1"/>
    <xf numFmtId="0" fontId="13" fillId="6" borderId="25" xfId="0" applyFont="1" applyFill="1" applyBorder="1"/>
    <xf numFmtId="0" fontId="13" fillId="5" borderId="25" xfId="0" applyFont="1" applyFill="1" applyBorder="1"/>
    <xf numFmtId="0" fontId="13" fillId="0" borderId="26" xfId="0" applyFont="1" applyBorder="1" applyAlignment="1">
      <alignment wrapText="1"/>
    </xf>
    <xf numFmtId="0" fontId="13" fillId="0" borderId="25" xfId="0" applyFont="1" applyBorder="1" applyAlignment="1">
      <alignment horizontal="justify" vertical="top" wrapText="1"/>
    </xf>
    <xf numFmtId="0" fontId="0" fillId="0" borderId="25" xfId="0" applyBorder="1"/>
    <xf numFmtId="0" fontId="7" fillId="0" borderId="0" xfId="0" applyFont="1" applyFill="1" applyBorder="1"/>
    <xf numFmtId="0" fontId="15" fillId="0" borderId="0" xfId="0" applyFont="1" applyAlignment="1">
      <alignment horizontal="left"/>
    </xf>
    <xf numFmtId="164" fontId="8" fillId="0" borderId="0" xfId="0" applyNumberFormat="1" applyFont="1" applyFill="1" applyBorder="1" applyAlignment="1">
      <alignment horizontal="center"/>
    </xf>
    <xf numFmtId="166" fontId="5" fillId="0" borderId="0" xfId="0" applyNumberFormat="1" applyFont="1" applyFill="1" applyBorder="1" applyAlignment="1">
      <alignment horizontal="center" vertical="center" wrapText="1"/>
    </xf>
    <xf numFmtId="0" fontId="1" fillId="0" borderId="0" xfId="1" applyFont="1"/>
    <xf numFmtId="0" fontId="20" fillId="0" borderId="7" xfId="0" applyFont="1" applyBorder="1" applyAlignment="1">
      <alignment vertical="top" wrapText="1"/>
    </xf>
    <xf numFmtId="0" fontId="0" fillId="0" borderId="0" xfId="0" applyAlignment="1">
      <alignment vertical="top" wrapText="1"/>
    </xf>
    <xf numFmtId="0" fontId="5" fillId="0" borderId="0" xfId="0" applyFont="1" applyAlignment="1">
      <alignment vertical="top" wrapText="1"/>
    </xf>
    <xf numFmtId="165" fontId="5" fillId="0" borderId="0" xfId="0" applyNumberFormat="1" applyFont="1" applyAlignment="1">
      <alignment horizontal="center" vertical="top" wrapText="1"/>
    </xf>
    <xf numFmtId="0" fontId="4" fillId="0" borderId="0" xfId="0" quotePrefix="1" applyFont="1" applyAlignment="1">
      <alignment horizontal="left" vertical="top" wrapText="1"/>
    </xf>
    <xf numFmtId="15" fontId="5" fillId="0" borderId="0" xfId="0" applyNumberFormat="1" applyFont="1" applyAlignment="1">
      <alignment vertical="top" wrapText="1"/>
    </xf>
    <xf numFmtId="0" fontId="4" fillId="0" borderId="3" xfId="0" applyFont="1" applyBorder="1" applyAlignment="1">
      <alignment horizontal="left" vertical="top" wrapText="1"/>
    </xf>
    <xf numFmtId="0" fontId="6" fillId="0" borderId="3" xfId="0" applyFont="1" applyBorder="1" applyAlignment="1">
      <alignment vertical="top" wrapText="1"/>
    </xf>
    <xf numFmtId="0" fontId="5" fillId="0" borderId="3" xfId="0" applyFont="1" applyBorder="1" applyAlignment="1">
      <alignment vertical="top" wrapText="1"/>
    </xf>
    <xf numFmtId="0" fontId="4" fillId="2" borderId="4" xfId="0" applyFont="1" applyFill="1" applyBorder="1" applyAlignment="1">
      <alignment horizontal="center" vertical="top" wrapText="1"/>
    </xf>
    <xf numFmtId="0" fontId="4" fillId="2" borderId="32" xfId="0" applyFont="1" applyFill="1" applyBorder="1" applyAlignment="1">
      <alignment horizontal="center" vertical="top" wrapText="1"/>
    </xf>
    <xf numFmtId="0" fontId="4" fillId="2" borderId="5" xfId="0" applyFont="1" applyFill="1" applyBorder="1" applyAlignment="1">
      <alignment horizontal="left" vertical="top" wrapText="1"/>
    </xf>
    <xf numFmtId="0" fontId="4" fillId="2" borderId="5" xfId="0" applyFont="1" applyFill="1" applyBorder="1" applyAlignment="1">
      <alignment horizontal="center" vertical="top" wrapText="1"/>
    </xf>
    <xf numFmtId="0" fontId="19" fillId="10" borderId="5" xfId="0" applyFont="1" applyFill="1" applyBorder="1" applyAlignment="1">
      <alignment horizontal="center" vertical="top" wrapText="1"/>
    </xf>
    <xf numFmtId="0" fontId="19" fillId="11" borderId="5" xfId="0" applyFont="1" applyFill="1" applyBorder="1" applyAlignment="1">
      <alignment horizontal="center" vertical="top" wrapText="1"/>
    </xf>
    <xf numFmtId="165" fontId="4" fillId="2" borderId="5" xfId="0" applyNumberFormat="1" applyFont="1" applyFill="1" applyBorder="1" applyAlignment="1">
      <alignment horizontal="center" vertical="top" wrapText="1"/>
    </xf>
    <xf numFmtId="0" fontId="4" fillId="2" borderId="6" xfId="0" applyFont="1" applyFill="1" applyBorder="1" applyAlignment="1">
      <alignment horizontal="center" vertical="top" wrapText="1"/>
    </xf>
    <xf numFmtId="0" fontId="4" fillId="12" borderId="27" xfId="0" applyFont="1" applyFill="1" applyBorder="1" applyAlignment="1">
      <alignment horizontal="center" vertical="top" wrapText="1"/>
    </xf>
    <xf numFmtId="0" fontId="4" fillId="12" borderId="28" xfId="0" applyFont="1" applyFill="1" applyBorder="1" applyAlignment="1">
      <alignment horizontal="left" vertical="top" wrapText="1"/>
    </xf>
    <xf numFmtId="0" fontId="4" fillId="12" borderId="28" xfId="0" applyFont="1" applyFill="1" applyBorder="1" applyAlignment="1">
      <alignment horizontal="center" vertical="top" wrapText="1"/>
    </xf>
    <xf numFmtId="0" fontId="4" fillId="12" borderId="7" xfId="0" applyFont="1" applyFill="1" applyBorder="1" applyAlignment="1">
      <alignment horizontal="center" vertical="top" wrapText="1"/>
    </xf>
    <xf numFmtId="0" fontId="0" fillId="0" borderId="8" xfId="0" applyBorder="1" applyAlignment="1">
      <alignment vertical="top" wrapText="1"/>
    </xf>
    <xf numFmtId="165" fontId="4" fillId="12" borderId="28" xfId="0" applyNumberFormat="1" applyFont="1" applyFill="1" applyBorder="1" applyAlignment="1">
      <alignment horizontal="center" vertical="top" wrapText="1"/>
    </xf>
    <xf numFmtId="0" fontId="0" fillId="12" borderId="0" xfId="0" applyFill="1" applyAlignment="1">
      <alignment vertical="top" wrapText="1"/>
    </xf>
    <xf numFmtId="0" fontId="5" fillId="0" borderId="7" xfId="0" applyFont="1" applyBorder="1" applyAlignment="1">
      <alignment horizontal="center" vertical="top" wrapText="1"/>
    </xf>
    <xf numFmtId="0" fontId="0" fillId="0" borderId="0" xfId="0" applyBorder="1" applyAlignment="1">
      <alignment vertical="top" wrapText="1"/>
    </xf>
    <xf numFmtId="15" fontId="5" fillId="0" borderId="7" xfId="0" applyNumberFormat="1" applyFont="1" applyBorder="1" applyAlignment="1">
      <alignment horizontal="center" vertical="top" wrapText="1"/>
    </xf>
    <xf numFmtId="15" fontId="20" fillId="0" borderId="7" xfId="0" applyNumberFormat="1" applyFont="1" applyBorder="1" applyAlignment="1">
      <alignment vertical="top" wrapText="1"/>
    </xf>
    <xf numFmtId="0" fontId="13" fillId="0" borderId="22" xfId="0" applyFont="1" applyBorder="1"/>
    <xf numFmtId="0" fontId="13" fillId="0" borderId="17" xfId="0" applyFont="1" applyBorder="1"/>
    <xf numFmtId="0" fontId="17" fillId="7" borderId="0" xfId="0" applyFont="1" applyFill="1" applyAlignment="1">
      <alignment horizontal="center"/>
    </xf>
    <xf numFmtId="0" fontId="15" fillId="0" borderId="0" xfId="0" applyFont="1" applyAlignment="1">
      <alignment horizontal="left"/>
    </xf>
    <xf numFmtId="0" fontId="9" fillId="0" borderId="12" xfId="0" applyFont="1" applyFill="1" applyBorder="1" applyAlignment="1">
      <alignment horizontal="center"/>
    </xf>
    <xf numFmtId="0" fontId="12" fillId="2" borderId="2" xfId="0" applyFont="1" applyFill="1" applyBorder="1" applyAlignment="1">
      <alignment horizontal="left"/>
    </xf>
    <xf numFmtId="0" fontId="12" fillId="2" borderId="19" xfId="0" applyFont="1" applyFill="1" applyBorder="1" applyAlignment="1">
      <alignment horizontal="left"/>
    </xf>
    <xf numFmtId="0" fontId="8" fillId="0" borderId="3" xfId="0" applyFont="1" applyBorder="1" applyAlignment="1">
      <alignment horizontal="left" wrapText="1"/>
    </xf>
    <xf numFmtId="0" fontId="7" fillId="7" borderId="1" xfId="0" applyFont="1" applyFill="1" applyBorder="1" applyAlignment="1">
      <alignment horizontal="left"/>
    </xf>
    <xf numFmtId="0" fontId="7" fillId="7" borderId="2" xfId="0" applyFont="1" applyFill="1" applyBorder="1" applyAlignment="1">
      <alignment horizontal="left"/>
    </xf>
    <xf numFmtId="0" fontId="12" fillId="7" borderId="1" xfId="0" applyFont="1" applyFill="1" applyBorder="1" applyAlignment="1">
      <alignment horizontal="left"/>
    </xf>
    <xf numFmtId="0" fontId="12" fillId="7" borderId="2" xfId="0" applyFont="1" applyFill="1" applyBorder="1" applyAlignment="1">
      <alignment horizontal="left"/>
    </xf>
    <xf numFmtId="0" fontId="12" fillId="7" borderId="19" xfId="0" applyFont="1" applyFill="1" applyBorder="1" applyAlignment="1">
      <alignment horizontal="left"/>
    </xf>
    <xf numFmtId="0" fontId="8" fillId="0" borderId="1" xfId="0" applyFont="1" applyBorder="1" applyAlignment="1">
      <alignment horizontal="left" wrapText="1"/>
    </xf>
    <xf numFmtId="0" fontId="8" fillId="0" borderId="2" xfId="0" applyFont="1" applyBorder="1" applyAlignment="1">
      <alignment horizontal="left" wrapText="1"/>
    </xf>
    <xf numFmtId="0" fontId="13" fillId="0" borderId="1" xfId="0" applyFont="1" applyBorder="1" applyAlignment="1">
      <alignment horizontal="left" wrapText="1"/>
    </xf>
    <xf numFmtId="0" fontId="13" fillId="0" borderId="2" xfId="0" applyFont="1" applyBorder="1" applyAlignment="1">
      <alignment horizontal="left" wrapText="1"/>
    </xf>
    <xf numFmtId="0" fontId="13" fillId="0" borderId="19" xfId="0" applyFont="1" applyBorder="1" applyAlignment="1">
      <alignment horizontal="left" wrapText="1"/>
    </xf>
    <xf numFmtId="0" fontId="8" fillId="0" borderId="0" xfId="0" applyFont="1" applyAlignment="1">
      <alignment horizontal="left" wrapText="1"/>
    </xf>
    <xf numFmtId="0" fontId="15" fillId="7" borderId="12" xfId="0" applyFont="1" applyFill="1" applyBorder="1" applyAlignment="1">
      <alignment horizontal="center"/>
    </xf>
    <xf numFmtId="0" fontId="0" fillId="0" borderId="24" xfId="0" applyBorder="1"/>
    <xf numFmtId="0" fontId="16" fillId="8" borderId="22" xfId="0" applyFont="1" applyFill="1" applyBorder="1" applyAlignment="1">
      <alignment vertical="top" wrapText="1"/>
    </xf>
    <xf numFmtId="0" fontId="14" fillId="8" borderId="17" xfId="0" applyFont="1" applyFill="1" applyBorder="1"/>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4" fillId="2" borderId="31" xfId="0" applyFont="1" applyFill="1" applyBorder="1" applyAlignment="1">
      <alignment horizontal="center" vertical="top" wrapText="1"/>
    </xf>
    <xf numFmtId="0" fontId="4" fillId="2" borderId="23" xfId="0" applyFont="1" applyFill="1" applyBorder="1" applyAlignment="1">
      <alignment horizontal="center" vertical="top" wrapText="1"/>
    </xf>
    <xf numFmtId="0" fontId="4" fillId="2" borderId="32"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6" fillId="0" borderId="0" xfId="0" applyFont="1" applyBorder="1" applyAlignment="1">
      <alignment horizontal="center" vertical="top" wrapText="1"/>
    </xf>
  </cellXfs>
  <cellStyles count="2">
    <cellStyle name="Normal" xfId="0" builtinId="0"/>
    <cellStyle name="Normal 2" xfId="1"/>
  </cellStyles>
  <dxfs count="13">
    <dxf>
      <fill>
        <gradientFill>
          <stop position="0">
            <color theme="0"/>
          </stop>
          <stop position="1">
            <color rgb="FF92D050"/>
          </stop>
        </gradientFill>
      </fill>
    </dxf>
    <dxf>
      <fill>
        <gradientFill degree="180">
          <stop position="0">
            <color theme="0"/>
          </stop>
          <stop position="1">
            <color rgb="FF92D050"/>
          </stop>
        </gradientFill>
      </fill>
    </dxf>
    <dxf>
      <fill>
        <gradientFill>
          <stop position="0">
            <color theme="0"/>
          </stop>
          <stop position="1">
            <color rgb="FFFFC000"/>
          </stop>
        </gradientFill>
      </fill>
    </dxf>
    <dxf>
      <fill>
        <gradientFill degree="180">
          <stop position="0">
            <color theme="0"/>
          </stop>
          <stop position="1">
            <color rgb="FFFF0000"/>
          </stop>
        </gradientFill>
      </fill>
    </dxf>
    <dxf>
      <fill>
        <patternFill>
          <bgColor theme="6"/>
        </patternFill>
      </fill>
    </dxf>
    <dxf>
      <fill>
        <patternFill>
          <bgColor rgb="FFFFC000"/>
        </patternFill>
      </fill>
    </dxf>
    <dxf>
      <fill>
        <patternFill>
          <bgColor rgb="FFFF0000"/>
        </patternFill>
      </fill>
    </dxf>
    <dxf>
      <fill>
        <patternFill>
          <bgColor indexed="10"/>
        </patternFill>
      </fill>
    </dxf>
    <dxf>
      <fill>
        <patternFill>
          <bgColor indexed="52"/>
        </patternFill>
      </fill>
    </dxf>
    <dxf>
      <fill>
        <patternFill>
          <bgColor indexed="42"/>
        </patternFill>
      </fill>
    </dxf>
    <dxf>
      <fill>
        <patternFill>
          <bgColor indexed="10"/>
        </patternFill>
      </fill>
    </dxf>
    <dxf>
      <fill>
        <patternFill>
          <bgColor indexed="52"/>
        </patternFill>
      </fill>
    </dxf>
    <dxf>
      <fill>
        <patternFill>
          <bgColor indexed="42"/>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externalLink" Target="externalLinks/externalLink3.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'Risk Register'!$M$1:$R$14</c:f>
              <c:multiLvlStrCache>
                <c:ptCount val="6"/>
                <c:lvl>
                  <c:pt idx="2">
                    <c:v>Software Development Process</c:v>
                  </c:pt>
                  <c:pt idx="3">
                    <c:v>1-Feb-16</c:v>
                  </c:pt>
                  <c:pt idx="4">
                    <c:v>Back up plan has been definedin PMP</c:v>
                  </c:pt>
                  <c:pt idx="5">
                    <c:v>Inactive</c:v>
                  </c:pt>
                </c:lvl>
                <c:lvl>
                  <c:pt idx="0">
                    <c:v>Revised business processes before constructing user spec. </c:v>
                  </c:pt>
                  <c:pt idx="2">
                    <c:v>Software Development Process</c:v>
                  </c:pt>
                </c:lvl>
                <c:lvl>
                  <c:pt idx="0">
                    <c:v>Ensure User Requirements are properly assessed. 
Invlove Subject matter expert into Requirment Gathering. 
Communications and planning focus.
Appoint Project Manager for client communication.
</c:v>
                  </c:pt>
                  <c:pt idx="2">
                    <c:v>Software Development Process</c:v>
                  </c:pt>
                </c:lvl>
                <c:lvl>
                  <c:pt idx="0">
                    <c:v>Focus on capturing user specific Requirements at the begining of project. 
Involve experienced BA with good dececision making ability and delivery commitment on time.
Accountable process owners.                               
</c:v>
                  </c:pt>
                  <c:pt idx="2">
                    <c:v>Software Development Process</c:v>
                  </c:pt>
                  <c:pt idx="3">
                    <c:v>12-Jan-16</c:v>
                  </c:pt>
                  <c:pt idx="4">
                    <c:v>Hired Experienced  BA for this project
Make Accountable in RACI Matrix</c:v>
                  </c:pt>
                  <c:pt idx="5">
                    <c:v>Inactive</c:v>
                  </c:pt>
                </c:lvl>
                <c:lvl>
                  <c:pt idx="0">
                    <c:v>Education, promotion &amp; training.  Active endorsement from Management</c:v>
                  </c:pt>
                  <c:pt idx="2">
                    <c:v>Software Development Process</c:v>
                  </c:pt>
                </c:lvl>
                <c:lvl>
                  <c:pt idx="0">
                    <c:v>Backup and restore processes outlined in the Management Plan for the Converted Records </c:v>
                  </c:pt>
                  <c:pt idx="2">
                    <c:v>Software Development Process</c:v>
                  </c:pt>
                </c:lvl>
                <c:lvl>
                  <c:pt idx="0">
                    <c:v>Processes  and security controls should be implemented as outlined in the Management Plan for the Converted Records </c:v>
                  </c:pt>
                  <c:pt idx="2">
                    <c:v>Software Development Process</c:v>
                  </c:pt>
                </c:lvl>
                <c:lvl>
                  <c:pt idx="2">
                    <c:v>Software Development Process</c:v>
                  </c:pt>
                  <c:pt idx="4">
                    <c:v>Large source records may be split to facilitate smaller electronic records being created, as per the Digitisation Processing Plan. Software and hardware may need to be upgraded and additional memory purchased.</c:v>
                  </c:pt>
                </c:lvl>
                <c:lvl>
                  <c:pt idx="0">
                    <c:v>maintain a log book for Incoming and out going files  from the Record Room department and get it signed by the record room incharge.
Maintained record of scanned pages in the file in excel format</c:v>
                  </c:pt>
                  <c:pt idx="2">
                    <c:v>Software Development Process</c:v>
                  </c:pt>
                </c:lvl>
                <c:lvl>
                  <c:pt idx="0">
                    <c:v>Processes  and metadata standards should be implemented as outlined in the Management Plan for the Converted Records</c:v>
                  </c:pt>
                  <c:pt idx="1">
                    <c:v>Vishal Shukla</c:v>
                  </c:pt>
                  <c:pt idx="2">
                    <c:v>Software Development Process</c:v>
                  </c:pt>
                </c:lvl>
                <c:lvl>
                  <c:pt idx="0">
                    <c:v>Mitigation Plan</c:v>
                  </c:pt>
                  <c:pt idx="1">
                    <c:v>Assigned To</c:v>
                  </c:pt>
                  <c:pt idx="2">
                    <c:v>Business Process</c:v>
                  </c:pt>
                  <c:pt idx="3">
                    <c:v>Action Date(MM/DD/YYYY)</c:v>
                  </c:pt>
                  <c:pt idx="4">
                    <c:v>Action Taken</c:v>
                  </c:pt>
                  <c:pt idx="5">
                    <c:v>Status</c:v>
                  </c:pt>
                </c:lvl>
                <c:lvl>
                  <c:pt idx="4">
                    <c:v>Last updated on :</c:v>
                  </c:pt>
                  <c:pt idx="5">
                    <c:v>7-Jan-16</c:v>
                  </c:pt>
                </c:lvl>
              </c:multiLvlStrCache>
            </c:multiLvlStrRef>
          </c:cat>
          <c:val>
            <c:numRef>
              <c:f>'Risk Register'!#REF!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'Risk Register'!#REF!</c15:sqref>
                        </c15:formulaRef>
                      </c:ext>
                    </c:extLst>
                    <c:strCache>
                      <c:ptCount val="1"/>
                      <c:pt idx="0">
                        <c:v>#REF!</c:v>
                      </c:pt>
                    </c:strCache>
                  </c:strRef>
                </c15:tx>
              </c15:filteredSeriesTitle>
            </c:ext>
            <c:ext xmlns:c16="http://schemas.microsoft.com/office/drawing/2014/chart" uri="{C3380CC4-5D6E-409C-BE32-E72D297353CC}">
              <c16:uniqueId val="{00000000-FD96-45E3-8D88-690B57240B75}"/>
            </c:ext>
          </c:extLst>
        </c:ser>
        <c:ser>
          <c:idx val="1"/>
          <c:order val="1"/>
          <c:spPr>
            <a:solidFill>
              <a:schemeClr val="accent2"/>
            </a:solidFill>
            <a:ln>
              <a:noFill/>
            </a:ln>
            <a:effectLst/>
          </c:spPr>
          <c:invertIfNegative val="0"/>
          <c:cat>
            <c:multiLvlStrRef>
              <c:f>'Risk Register'!$M$1:$R$14</c:f>
              <c:multiLvlStrCache>
                <c:ptCount val="6"/>
                <c:lvl>
                  <c:pt idx="2">
                    <c:v>Software Development Process</c:v>
                  </c:pt>
                  <c:pt idx="3">
                    <c:v>1-Feb-16</c:v>
                  </c:pt>
                  <c:pt idx="4">
                    <c:v>Back up plan has been definedin PMP</c:v>
                  </c:pt>
                  <c:pt idx="5">
                    <c:v>Inactive</c:v>
                  </c:pt>
                </c:lvl>
                <c:lvl>
                  <c:pt idx="0">
                    <c:v>Revised business processes before constructing user spec. </c:v>
                  </c:pt>
                  <c:pt idx="2">
                    <c:v>Software Development Process</c:v>
                  </c:pt>
                </c:lvl>
                <c:lvl>
                  <c:pt idx="0">
                    <c:v>Ensure User Requirements are properly assessed. 
Invlove Subject matter expert into Requirment Gathering. 
Communications and planning focus.
Appoint Project Manager for client communication.
</c:v>
                  </c:pt>
                  <c:pt idx="2">
                    <c:v>Software Development Process</c:v>
                  </c:pt>
                </c:lvl>
                <c:lvl>
                  <c:pt idx="0">
                    <c:v>Focus on capturing user specific Requirements at the begining of project. 
Involve experienced BA with good dececision making ability and delivery commitment on time.
Accountable process owners.                               
</c:v>
                  </c:pt>
                  <c:pt idx="2">
                    <c:v>Software Development Process</c:v>
                  </c:pt>
                  <c:pt idx="3">
                    <c:v>12-Jan-16</c:v>
                  </c:pt>
                  <c:pt idx="4">
                    <c:v>Hired Experienced  BA for this project
Make Accountable in RACI Matrix</c:v>
                  </c:pt>
                  <c:pt idx="5">
                    <c:v>Inactive</c:v>
                  </c:pt>
                </c:lvl>
                <c:lvl>
                  <c:pt idx="0">
                    <c:v>Education, promotion &amp; training.  Active endorsement from Management</c:v>
                  </c:pt>
                  <c:pt idx="2">
                    <c:v>Software Development Process</c:v>
                  </c:pt>
                </c:lvl>
                <c:lvl>
                  <c:pt idx="0">
                    <c:v>Backup and restore processes outlined in the Management Plan for the Converted Records </c:v>
                  </c:pt>
                  <c:pt idx="2">
                    <c:v>Software Development Process</c:v>
                  </c:pt>
                </c:lvl>
                <c:lvl>
                  <c:pt idx="0">
                    <c:v>Processes  and security controls should be implemented as outlined in the Management Plan for the Converted Records </c:v>
                  </c:pt>
                  <c:pt idx="2">
                    <c:v>Software Development Process</c:v>
                  </c:pt>
                </c:lvl>
                <c:lvl>
                  <c:pt idx="2">
                    <c:v>Software Development Process</c:v>
                  </c:pt>
                  <c:pt idx="4">
                    <c:v>Large source records may be split to facilitate smaller electronic records being created, as per the Digitisation Processing Plan. Software and hardware may need to be upgraded and additional memory purchased.</c:v>
                  </c:pt>
                </c:lvl>
                <c:lvl>
                  <c:pt idx="0">
                    <c:v>maintain a log book for Incoming and out going files  from the Record Room department and get it signed by the record room incharge.
Maintained record of scanned pages in the file in excel format</c:v>
                  </c:pt>
                  <c:pt idx="2">
                    <c:v>Software Development Process</c:v>
                  </c:pt>
                </c:lvl>
                <c:lvl>
                  <c:pt idx="0">
                    <c:v>Processes  and metadata standards should be implemented as outlined in the Management Plan for the Converted Records</c:v>
                  </c:pt>
                  <c:pt idx="1">
                    <c:v>Vishal Shukla</c:v>
                  </c:pt>
                  <c:pt idx="2">
                    <c:v>Software Development Process</c:v>
                  </c:pt>
                </c:lvl>
                <c:lvl>
                  <c:pt idx="0">
                    <c:v>Mitigation Plan</c:v>
                  </c:pt>
                  <c:pt idx="1">
                    <c:v>Assigned To</c:v>
                  </c:pt>
                  <c:pt idx="2">
                    <c:v>Business Process</c:v>
                  </c:pt>
                  <c:pt idx="3">
                    <c:v>Action Date(MM/DD/YYYY)</c:v>
                  </c:pt>
                  <c:pt idx="4">
                    <c:v>Action Taken</c:v>
                  </c:pt>
                  <c:pt idx="5">
                    <c:v>Status</c:v>
                  </c:pt>
                </c:lvl>
                <c:lvl>
                  <c:pt idx="4">
                    <c:v>Last updated on :</c:v>
                  </c:pt>
                  <c:pt idx="5">
                    <c:v>7-Jan-16</c:v>
                  </c:pt>
                </c:lvl>
              </c:multiLvlStrCache>
            </c:multiLvlStrRef>
          </c:cat>
          <c:val>
            <c:numRef>
              <c:f>'Risk Register'!#REF!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'Risk Register'!#REF!</c15:sqref>
                        </c15:formulaRef>
                      </c:ext>
                    </c:extLst>
                    <c:strCache>
                      <c:ptCount val="1"/>
                      <c:pt idx="0">
                        <c:v>#REF!</c:v>
                      </c:pt>
                    </c:strCache>
                  </c:strRef>
                </c15:tx>
              </c15:filteredSeriesTitle>
            </c:ext>
            <c:ext xmlns:c16="http://schemas.microsoft.com/office/drawing/2014/chart" uri="{C3380CC4-5D6E-409C-BE32-E72D297353CC}">
              <c16:uniqueId val="{00000001-FD96-45E3-8D88-690B57240B75}"/>
            </c:ext>
          </c:extLst>
        </c:ser>
        <c:dLbls>
          <c:showLegendKey val="0"/>
          <c:showVal val="0"/>
          <c:showCatName val="0"/>
          <c:showSerName val="0"/>
          <c:showPercent val="0"/>
          <c:showBubbleSize val="0"/>
        </c:dLbls>
        <c:gapWidth val="219"/>
        <c:overlap val="-27"/>
        <c:axId val="168047792"/>
        <c:axId val="168048912"/>
      </c:barChart>
      <c:catAx>
        <c:axId val="1680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8912"/>
        <c:crosses val="autoZero"/>
        <c:auto val="1"/>
        <c:lblAlgn val="ctr"/>
        <c:lblOffset val="100"/>
        <c:noMultiLvlLbl val="0"/>
      </c:catAx>
      <c:valAx>
        <c:axId val="16804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5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1343026</xdr:colOff>
      <xdr:row>0</xdr:row>
      <xdr:rowOff>0</xdr:rowOff>
    </xdr:from>
    <xdr:to>
      <xdr:col>6</xdr:col>
      <xdr:colOff>457200</xdr:colOff>
      <xdr:row>2</xdr:row>
      <xdr:rowOff>0</xdr:rowOff>
    </xdr:to>
    <xdr:pic>
      <xdr:nvPicPr>
        <xdr:cNvPr id="2" name="Picture 1" descr="Logo NST"/>
        <xdr:cNvPicPr>
          <a:picLocks noChangeAspect="1" noChangeArrowheads="1"/>
        </xdr:cNvPicPr>
      </xdr:nvPicPr>
      <xdr:blipFill>
        <a:blip xmlns:r="http://schemas.openxmlformats.org/officeDocument/2006/relationships" r:embed="rId1" cstate="print"/>
        <a:srcRect/>
        <a:stretch>
          <a:fillRect/>
        </a:stretch>
      </xdr:blipFill>
      <xdr:spPr bwMode="auto">
        <a:xfrm>
          <a:off x="2714626" y="0"/>
          <a:ext cx="2847974" cy="3810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1591745" cy="841075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jendra/Documents/DOCUMENTS%20ARCHIVE/Documents%208%20(Bus)/QA%20Infotech/samples%202/Risk%20Management/Risk-Management_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ajendra/Documents/Doc-Pers-Working-Freq1/04.2%20Process%20Samples/MQ%20CMMI%20Dev%20and%20SVC%20L3/03_Process/3.10%20Risk%20Management%20Process/Risk_Register_elabor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iddharthAnand/Documents/DESK/CMM/Procedure%20Templates/Risk%20Management/BCM_Risk_Register_Matrix_Tool%20(Best)%20-%20modifi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Risk Matrix"/>
      <sheetName val="ListVal"/>
      <sheetName val="Risks Indicators"/>
      <sheetName val="Potential Risk Register"/>
      <sheetName val="Risk Rating Guidance"/>
    </sheetNames>
    <sheetDataSet>
      <sheetData sheetId="0" refreshError="1"/>
      <sheetData sheetId="1" refreshError="1"/>
      <sheetData sheetId="2">
        <row r="2">
          <cell r="A2" t="str">
            <v>Scope Volatility</v>
          </cell>
          <cell r="B2" t="str">
            <v>1. TECHNICAL RISKS</v>
          </cell>
        </row>
        <row r="3">
          <cell r="B3" t="str">
            <v>1.1 Scope Definition</v>
          </cell>
        </row>
        <row r="4">
          <cell r="B4" t="str">
            <v>1.2 Requirements definition</v>
          </cell>
        </row>
        <row r="5">
          <cell r="B5" t="str">
            <v>1.3 Estimates, assumptions, constraints</v>
          </cell>
        </row>
        <row r="6">
          <cell r="B6" t="str">
            <v>1.4 Technical process</v>
          </cell>
        </row>
        <row r="7">
          <cell r="B7" t="str">
            <v>1.5 Technology</v>
          </cell>
        </row>
        <row r="8">
          <cell r="B8" t="str">
            <v>1.6 Technical interfaces</v>
          </cell>
        </row>
        <row r="9">
          <cell r="B9" t="str">
            <v>1.7 Other Technical risks</v>
          </cell>
        </row>
        <row r="10">
          <cell r="B10" t="str">
            <v>2. MANAGEMENT RISKS</v>
          </cell>
        </row>
        <row r="11">
          <cell r="B11" t="str">
            <v>2.1 Project Management</v>
          </cell>
        </row>
        <row r="12">
          <cell r="B12" t="str">
            <v>2.2 Program/Portfolio Management</v>
          </cell>
        </row>
        <row r="13">
          <cell r="B13" t="str">
            <v>2.3 Operations Management</v>
          </cell>
        </row>
        <row r="14">
          <cell r="B14" t="str">
            <v>2.4 Organization</v>
          </cell>
        </row>
        <row r="15">
          <cell r="B15" t="str">
            <v>2.5 Resourcing</v>
          </cell>
        </row>
        <row r="16">
          <cell r="B16" t="str">
            <v>2.6 Communication</v>
          </cell>
        </row>
        <row r="17">
          <cell r="B17" t="str">
            <v>2.7 Other Management risks</v>
          </cell>
        </row>
        <row r="18">
          <cell r="B18" t="str">
            <v>3. COMMERCIAL RISKS</v>
          </cell>
        </row>
        <row r="19">
          <cell r="B19" t="str">
            <v>3.1 Contractual terms and conditions</v>
          </cell>
        </row>
        <row r="20">
          <cell r="B20" t="str">
            <v>3.2 Internal procurement</v>
          </cell>
        </row>
        <row r="21">
          <cell r="B21" t="str">
            <v>3.3 Suppliers and vendors</v>
          </cell>
        </row>
        <row r="22">
          <cell r="B22" t="str">
            <v>3.4 Subcontracts</v>
          </cell>
        </row>
        <row r="23">
          <cell r="B23" t="str">
            <v>3.5 Client/customer stability</v>
          </cell>
        </row>
        <row r="24">
          <cell r="B24" t="str">
            <v>3.6 Partnerships and joint ventures</v>
          </cell>
        </row>
        <row r="25">
          <cell r="B25" t="str">
            <v>3.7 Other commercial risks</v>
          </cell>
        </row>
        <row r="26">
          <cell r="B26" t="str">
            <v>4. EXTERNAL RISKS</v>
          </cell>
        </row>
        <row r="27">
          <cell r="B27" t="str">
            <v>4.1 Legislation</v>
          </cell>
        </row>
        <row r="28">
          <cell r="B28" t="str">
            <v>4.2 Exchange risks</v>
          </cell>
        </row>
        <row r="29">
          <cell r="B29" t="str">
            <v>4.3 Site/facilities</v>
          </cell>
        </row>
        <row r="30">
          <cell r="B30" t="str">
            <v>4.4 Environment/weather</v>
          </cell>
        </row>
        <row r="31">
          <cell r="B31" t="str">
            <v>4.5 Competition</v>
          </cell>
        </row>
        <row r="32">
          <cell r="B32" t="str">
            <v>4.6 Regulatory</v>
          </cell>
        </row>
        <row r="33">
          <cell r="B33" t="str">
            <v>4.7 Other External risks</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ListVal"/>
      <sheetName val="RBS"/>
      <sheetName val="RBS2"/>
      <sheetName val="Master Risks List"/>
      <sheetName val="Risk Register"/>
      <sheetName val="Risk Register Alternative forma"/>
      <sheetName val="Risk Matrix"/>
      <sheetName val="Risk Rating Guidance"/>
      <sheetName val="Risk Rating Guidance 2"/>
    </sheetNames>
    <sheetDataSet>
      <sheetData sheetId="0"/>
      <sheetData sheetId="1">
        <row r="2">
          <cell r="A2" t="str">
            <v>Scope Volatility</v>
          </cell>
          <cell r="B2" t="str">
            <v>1. TECHNICAL RISKS</v>
          </cell>
          <cell r="C2" t="str">
            <v>Open</v>
          </cell>
          <cell r="D2" t="str">
            <v>Avoid</v>
          </cell>
        </row>
        <row r="3">
          <cell r="B3" t="str">
            <v>1.1 Scope Definition</v>
          </cell>
          <cell r="C3" t="str">
            <v>Closed</v>
          </cell>
          <cell r="D3" t="str">
            <v>Transfer</v>
          </cell>
        </row>
        <row r="4">
          <cell r="B4" t="str">
            <v>1.2 Requirements definition</v>
          </cell>
          <cell r="C4" t="str">
            <v>Residual</v>
          </cell>
          <cell r="D4" t="str">
            <v>Mitigate</v>
          </cell>
        </row>
        <row r="5">
          <cell r="B5" t="str">
            <v>1.3 Estimates, assumptions, constraints</v>
          </cell>
          <cell r="D5" t="str">
            <v>Accept (Actively)</v>
          </cell>
        </row>
        <row r="6">
          <cell r="B6" t="str">
            <v>1.4 Technical process</v>
          </cell>
          <cell r="D6" t="str">
            <v>Accept (Passively)</v>
          </cell>
        </row>
        <row r="7">
          <cell r="B7" t="str">
            <v>1.5 Technology</v>
          </cell>
          <cell r="D7" t="str">
            <v>Exploit</v>
          </cell>
        </row>
        <row r="8">
          <cell r="B8" t="str">
            <v>1.6 Technical interfaces</v>
          </cell>
          <cell r="D8" t="str">
            <v>Enhance</v>
          </cell>
        </row>
        <row r="9">
          <cell r="B9" t="str">
            <v>1.7 Other Technical risks</v>
          </cell>
        </row>
        <row r="10">
          <cell r="B10" t="str">
            <v>2. MANAGEMENT RISKS</v>
          </cell>
        </row>
        <row r="11">
          <cell r="B11" t="str">
            <v>2.1 Project Management</v>
          </cell>
        </row>
        <row r="12">
          <cell r="B12" t="str">
            <v>2.2 Program/Portfolio Management</v>
          </cell>
        </row>
        <row r="13">
          <cell r="B13" t="str">
            <v>2.3 Operations Management</v>
          </cell>
        </row>
        <row r="14">
          <cell r="B14" t="str">
            <v>2.4 Organization</v>
          </cell>
        </row>
        <row r="15">
          <cell r="B15" t="str">
            <v>2.5 Resourcing</v>
          </cell>
        </row>
        <row r="16">
          <cell r="B16" t="str">
            <v>2.6 Communication</v>
          </cell>
        </row>
        <row r="17">
          <cell r="B17" t="str">
            <v>2.7 Other Management risks</v>
          </cell>
        </row>
        <row r="18">
          <cell r="B18" t="str">
            <v>3. COMMERCIAL RISKS</v>
          </cell>
        </row>
        <row r="19">
          <cell r="B19" t="str">
            <v>3.1 Contractual terms and conditions</v>
          </cell>
        </row>
        <row r="20">
          <cell r="B20" t="str">
            <v>3.2 Internal procurement</v>
          </cell>
        </row>
        <row r="21">
          <cell r="B21" t="str">
            <v>3.3 Suppliers and vendors</v>
          </cell>
        </row>
        <row r="22">
          <cell r="B22" t="str">
            <v>3.4 Subcontracts</v>
          </cell>
        </row>
        <row r="23">
          <cell r="B23" t="str">
            <v>3.5 Client/customer stability</v>
          </cell>
        </row>
        <row r="24">
          <cell r="B24" t="str">
            <v>3.6 Partnerships and joint ventures</v>
          </cell>
        </row>
        <row r="25">
          <cell r="B25" t="str">
            <v>3.7 Other commercial risks</v>
          </cell>
        </row>
        <row r="26">
          <cell r="B26" t="str">
            <v>4. EXTERNAL RISKS</v>
          </cell>
        </row>
        <row r="27">
          <cell r="B27" t="str">
            <v>4.1 Legislation</v>
          </cell>
        </row>
        <row r="28">
          <cell r="B28" t="str">
            <v>4.2 Exchange risks</v>
          </cell>
        </row>
        <row r="29">
          <cell r="B29" t="str">
            <v>4.3 Site/facilities</v>
          </cell>
        </row>
        <row r="30">
          <cell r="B30" t="str">
            <v>4.4 Environment/weather</v>
          </cell>
        </row>
        <row r="31">
          <cell r="B31" t="str">
            <v>4.5 Competition</v>
          </cell>
        </row>
        <row r="32">
          <cell r="B32" t="str">
            <v>4.6 Regulatory</v>
          </cell>
        </row>
        <row r="33">
          <cell r="B33" t="str">
            <v>4.7 Other External risks</v>
          </cell>
        </row>
      </sheetData>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Page"/>
      <sheetName val="ListVal"/>
      <sheetName val="Risk Register"/>
      <sheetName val="Risk Matrix"/>
      <sheetName val="Risk Rating Guidance"/>
    </sheetNames>
    <sheetDataSet>
      <sheetData sheetId="0" refreshError="1"/>
      <sheetData sheetId="1">
        <row r="2">
          <cell r="B2" t="str">
            <v>1. TECHNICAL RISKS</v>
          </cell>
          <cell r="C2" t="str">
            <v>Open</v>
          </cell>
        </row>
        <row r="3">
          <cell r="C3" t="str">
            <v>Closed</v>
          </cell>
        </row>
        <row r="4">
          <cell r="C4" t="str">
            <v>Residual</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topLeftCell="A4" workbookViewId="0">
      <selection activeCell="H12" sqref="H12"/>
    </sheetView>
  </sheetViews>
  <sheetFormatPr defaultRowHeight="12.75" x14ac:dyDescent="0.2"/>
  <cols>
    <col min="2" max="2" width="12.140625" customWidth="1"/>
    <col min="3" max="3" width="19.42578125" customWidth="1"/>
    <col min="4" max="4" width="9.140625" bestFit="1" customWidth="1"/>
    <col min="5" max="5" width="15.7109375" customWidth="1"/>
    <col min="6" max="6" width="12" customWidth="1"/>
    <col min="7" max="7" width="29.7109375" customWidth="1"/>
    <col min="8" max="8" width="18.28515625" customWidth="1"/>
    <col min="9" max="9" width="14.85546875" customWidth="1"/>
  </cols>
  <sheetData>
    <row r="1" spans="1:9" x14ac:dyDescent="0.2">
      <c r="A1" s="25"/>
      <c r="B1" s="10"/>
      <c r="C1" s="10"/>
      <c r="D1" s="10"/>
      <c r="E1" s="10"/>
      <c r="F1" s="10"/>
      <c r="G1" s="10"/>
      <c r="H1" s="10"/>
      <c r="I1" s="10"/>
    </row>
    <row r="2" spans="1:9" x14ac:dyDescent="0.2">
      <c r="A2" s="4"/>
      <c r="B2" s="5"/>
      <c r="C2" s="5"/>
      <c r="D2" s="5"/>
      <c r="E2" s="5"/>
      <c r="F2" s="5"/>
      <c r="G2" s="6"/>
      <c r="H2" s="6"/>
      <c r="I2" s="6"/>
    </row>
    <row r="3" spans="1:9" s="14" customFormat="1" ht="18" x14ac:dyDescent="0.25">
      <c r="A3" s="4"/>
      <c r="C3" s="99" t="s">
        <v>75</v>
      </c>
      <c r="D3" s="99"/>
      <c r="E3" s="99"/>
      <c r="F3" s="99"/>
      <c r="G3" s="45" t="s">
        <v>76</v>
      </c>
      <c r="H3" s="46"/>
      <c r="I3" s="47"/>
    </row>
    <row r="4" spans="1:9" ht="15" x14ac:dyDescent="0.25">
      <c r="A4" s="33"/>
      <c r="B4" s="100" t="s">
        <v>73</v>
      </c>
      <c r="C4" s="100"/>
      <c r="D4" s="100"/>
      <c r="E4" s="100"/>
      <c r="F4" s="100"/>
      <c r="G4" s="100"/>
      <c r="H4" s="101"/>
      <c r="I4" s="4"/>
    </row>
    <row r="5" spans="1:9" ht="29.25" customHeight="1" x14ac:dyDescent="0.2">
      <c r="A5" s="4"/>
      <c r="B5" s="102" t="s">
        <v>42</v>
      </c>
      <c r="C5" s="102"/>
      <c r="D5" s="102"/>
      <c r="E5" s="102"/>
      <c r="F5" s="102"/>
      <c r="G5" s="102"/>
      <c r="H5" s="34"/>
      <c r="I5" s="35"/>
    </row>
    <row r="6" spans="1:9" x14ac:dyDescent="0.2">
      <c r="A6" s="4"/>
      <c r="B6" s="3" t="s">
        <v>74</v>
      </c>
      <c r="G6" s="5"/>
    </row>
    <row r="7" spans="1:9" ht="15" x14ac:dyDescent="0.25">
      <c r="A7" s="4"/>
      <c r="B7" s="103" t="s">
        <v>5</v>
      </c>
      <c r="C7" s="104"/>
      <c r="D7" s="104"/>
      <c r="E7" s="36"/>
      <c r="F7" s="105" t="s">
        <v>77</v>
      </c>
      <c r="G7" s="106"/>
      <c r="H7" s="107"/>
      <c r="I7" s="37"/>
    </row>
    <row r="8" spans="1:9" ht="39" customHeight="1" x14ac:dyDescent="0.2">
      <c r="A8" s="4"/>
      <c r="B8" s="108" t="s">
        <v>31</v>
      </c>
      <c r="C8" s="109"/>
      <c r="D8" s="109"/>
      <c r="E8" s="38"/>
      <c r="F8" s="110" t="s">
        <v>78</v>
      </c>
      <c r="G8" s="111"/>
      <c r="H8" s="112"/>
      <c r="I8" s="39"/>
    </row>
    <row r="9" spans="1:9" ht="13.5" thickBot="1" x14ac:dyDescent="0.25">
      <c r="A9" s="4"/>
      <c r="B9" s="2"/>
      <c r="G9" s="5"/>
    </row>
    <row r="10" spans="1:9" ht="13.5" thickBot="1" x14ac:dyDescent="0.25">
      <c r="A10" s="4"/>
      <c r="B10" s="18" t="s">
        <v>32</v>
      </c>
      <c r="C10" s="19" t="s">
        <v>28</v>
      </c>
      <c r="D10" s="19" t="s">
        <v>39</v>
      </c>
      <c r="F10" s="23" t="s">
        <v>32</v>
      </c>
      <c r="G10" s="24" t="s">
        <v>28</v>
      </c>
      <c r="H10" s="24" t="s">
        <v>39</v>
      </c>
    </row>
    <row r="11" spans="1:9" ht="34.5" thickBot="1" x14ac:dyDescent="0.25">
      <c r="A11" s="4"/>
      <c r="B11" s="20" t="s">
        <v>47</v>
      </c>
      <c r="C11" s="21" t="s">
        <v>40</v>
      </c>
      <c r="D11" s="22">
        <v>5</v>
      </c>
      <c r="F11" s="20" t="s">
        <v>52</v>
      </c>
      <c r="G11" s="21" t="s">
        <v>53</v>
      </c>
      <c r="H11" s="22">
        <v>4</v>
      </c>
    </row>
    <row r="12" spans="1:9" ht="57" thickBot="1" x14ac:dyDescent="0.25">
      <c r="A12" s="4"/>
      <c r="B12" s="20" t="s">
        <v>48</v>
      </c>
      <c r="C12" s="21" t="s">
        <v>41</v>
      </c>
      <c r="D12" s="22">
        <v>4</v>
      </c>
      <c r="F12" s="20" t="s">
        <v>54</v>
      </c>
      <c r="G12" s="21" t="s">
        <v>55</v>
      </c>
      <c r="H12" s="22">
        <v>3</v>
      </c>
    </row>
    <row r="13" spans="1:9" ht="34.5" thickBot="1" x14ac:dyDescent="0.25">
      <c r="A13" s="4"/>
      <c r="B13" s="20" t="s">
        <v>49</v>
      </c>
      <c r="C13" s="21" t="s">
        <v>46</v>
      </c>
      <c r="D13" s="22">
        <v>3</v>
      </c>
      <c r="F13" s="20" t="s">
        <v>56</v>
      </c>
      <c r="G13" s="21" t="s">
        <v>57</v>
      </c>
      <c r="H13" s="22">
        <v>2</v>
      </c>
    </row>
    <row r="14" spans="1:9" ht="34.5" thickBot="1" x14ac:dyDescent="0.25">
      <c r="A14" s="4"/>
      <c r="B14" s="20" t="s">
        <v>50</v>
      </c>
      <c r="C14" s="21" t="s">
        <v>45</v>
      </c>
      <c r="D14" s="22">
        <v>2</v>
      </c>
      <c r="F14" s="20" t="s">
        <v>58</v>
      </c>
      <c r="G14" s="21" t="s">
        <v>59</v>
      </c>
      <c r="H14" s="22">
        <v>1</v>
      </c>
    </row>
    <row r="15" spans="1:9" ht="34.5" thickBot="1" x14ac:dyDescent="0.25">
      <c r="A15" s="4"/>
      <c r="B15" s="40" t="s">
        <v>51</v>
      </c>
      <c r="C15" s="41" t="s">
        <v>44</v>
      </c>
      <c r="D15" s="42">
        <v>1</v>
      </c>
      <c r="G15" s="5"/>
    </row>
    <row r="16" spans="1:9" s="5" customFormat="1" x14ac:dyDescent="0.2">
      <c r="B16" s="43"/>
      <c r="C16" s="44"/>
      <c r="D16" s="44"/>
    </row>
    <row r="17" spans="1:9" ht="15" customHeight="1" x14ac:dyDescent="0.2">
      <c r="A17" s="7"/>
      <c r="B17" s="113" t="s">
        <v>79</v>
      </c>
      <c r="C17" s="113"/>
      <c r="D17" s="113"/>
      <c r="E17" s="113"/>
      <c r="F17" s="113"/>
      <c r="G17" s="113"/>
      <c r="H17" s="113"/>
      <c r="I17" s="48"/>
    </row>
    <row r="18" spans="1:9" ht="24.75" customHeight="1" x14ac:dyDescent="0.2">
      <c r="A18" s="7"/>
      <c r="B18" s="113"/>
      <c r="C18" s="113"/>
      <c r="D18" s="113"/>
      <c r="E18" s="113"/>
      <c r="F18" s="113"/>
      <c r="G18" s="113"/>
      <c r="H18" s="113"/>
      <c r="I18" s="48"/>
    </row>
    <row r="19" spans="1:9" ht="12.75" customHeight="1" x14ac:dyDescent="0.2">
      <c r="A19" s="7"/>
      <c r="B19" s="2"/>
    </row>
    <row r="20" spans="1:9" s="5" customFormat="1" ht="15.75" x14ac:dyDescent="0.25">
      <c r="B20" s="49"/>
      <c r="C20" s="114" t="s">
        <v>80</v>
      </c>
      <c r="D20" s="114"/>
      <c r="E20" s="114"/>
      <c r="F20" s="114"/>
      <c r="G20" s="114"/>
    </row>
    <row r="21" spans="1:9" s="5" customFormat="1" ht="13.5" thickBot="1" x14ac:dyDescent="0.25">
      <c r="B21" s="50"/>
      <c r="C21" s="115"/>
      <c r="D21" s="115"/>
      <c r="E21"/>
      <c r="F21" s="51"/>
      <c r="G21"/>
    </row>
    <row r="22" spans="1:9" s="5" customFormat="1" ht="15" customHeight="1" thickBot="1" x14ac:dyDescent="0.3">
      <c r="B22" s="52"/>
      <c r="C22" s="116" t="s">
        <v>43</v>
      </c>
      <c r="D22" s="117"/>
      <c r="E22" s="53" t="s">
        <v>81</v>
      </c>
      <c r="F22" s="53" t="s">
        <v>82</v>
      </c>
      <c r="G22" s="53" t="s">
        <v>83</v>
      </c>
    </row>
    <row r="23" spans="1:9" s="5" customFormat="1" ht="13.5" thickBot="1" x14ac:dyDescent="0.25">
      <c r="B23" s="49"/>
      <c r="C23" s="95" t="s">
        <v>60</v>
      </c>
      <c r="D23" s="96"/>
      <c r="E23" s="54" t="s">
        <v>61</v>
      </c>
      <c r="F23" s="55" t="s">
        <v>84</v>
      </c>
      <c r="G23" s="56" t="s">
        <v>85</v>
      </c>
    </row>
    <row r="24" spans="1:9" s="5" customFormat="1" ht="13.5" thickBot="1" x14ac:dyDescent="0.25">
      <c r="B24" s="49"/>
      <c r="C24" s="95" t="s">
        <v>62</v>
      </c>
      <c r="D24" s="96"/>
      <c r="E24" s="54" t="s">
        <v>63</v>
      </c>
      <c r="F24" s="55" t="s">
        <v>86</v>
      </c>
      <c r="G24" s="56" t="s">
        <v>87</v>
      </c>
    </row>
    <row r="25" spans="1:9" s="5" customFormat="1" ht="13.5" thickBot="1" x14ac:dyDescent="0.25">
      <c r="B25" s="49"/>
      <c r="C25" s="95" t="s">
        <v>64</v>
      </c>
      <c r="D25" s="96"/>
      <c r="E25" s="54" t="s">
        <v>65</v>
      </c>
      <c r="F25" s="55" t="s">
        <v>88</v>
      </c>
      <c r="G25" s="57" t="s">
        <v>89</v>
      </c>
    </row>
    <row r="26" spans="1:9" s="5" customFormat="1" ht="13.5" thickBot="1" x14ac:dyDescent="0.25">
      <c r="B26" s="49"/>
      <c r="C26" s="95" t="s">
        <v>66</v>
      </c>
      <c r="D26" s="96"/>
      <c r="E26" s="54" t="s">
        <v>67</v>
      </c>
      <c r="F26" s="55"/>
      <c r="G26" s="58" t="s">
        <v>90</v>
      </c>
    </row>
    <row r="27" spans="1:9" s="5" customFormat="1" ht="13.5" thickBot="1" x14ac:dyDescent="0.25">
      <c r="B27" s="49"/>
      <c r="C27" s="95" t="s">
        <v>68</v>
      </c>
      <c r="D27" s="96"/>
      <c r="E27" s="59"/>
      <c r="F27" s="60"/>
      <c r="G27" s="61"/>
    </row>
    <row r="28" spans="1:9" s="5" customFormat="1" x14ac:dyDescent="0.2">
      <c r="B28" s="50"/>
    </row>
    <row r="29" spans="1:9" s="5" customFormat="1" x14ac:dyDescent="0.2"/>
    <row r="30" spans="1:9" s="5" customFormat="1" ht="15.75" x14ac:dyDescent="0.25">
      <c r="B30" s="97" t="s">
        <v>91</v>
      </c>
      <c r="C30" s="97"/>
    </row>
    <row r="31" spans="1:9" s="5" customFormat="1" ht="15.75" x14ac:dyDescent="0.25">
      <c r="A31" s="62"/>
      <c r="B31"/>
      <c r="C31" s="98" t="s">
        <v>92</v>
      </c>
      <c r="D31" s="98"/>
      <c r="E31" s="98"/>
      <c r="F31" s="98"/>
    </row>
    <row r="32" spans="1:9" s="5" customFormat="1" ht="15.75" x14ac:dyDescent="0.25">
      <c r="A32" s="62"/>
      <c r="B32"/>
      <c r="C32" s="63" t="s">
        <v>93</v>
      </c>
      <c r="D32" s="63"/>
      <c r="E32" s="63"/>
      <c r="F32" s="63"/>
    </row>
    <row r="33" spans="1:13" s="5" customFormat="1" ht="15.75" x14ac:dyDescent="0.25">
      <c r="A33" s="12"/>
      <c r="B33"/>
      <c r="C33" s="63" t="s">
        <v>94</v>
      </c>
      <c r="D33" s="63"/>
      <c r="E33" s="63"/>
      <c r="F33" s="63"/>
    </row>
    <row r="34" spans="1:13" s="5" customFormat="1" ht="15.75" x14ac:dyDescent="0.25">
      <c r="A34" s="49"/>
      <c r="B34"/>
      <c r="C34" s="63" t="s">
        <v>95</v>
      </c>
      <c r="D34" s="63"/>
      <c r="E34" s="63"/>
      <c r="F34" s="63"/>
    </row>
    <row r="35" spans="1:13" s="5" customFormat="1" x14ac:dyDescent="0.2">
      <c r="A35" s="49"/>
      <c r="B35" s="64"/>
      <c r="C35" s="13"/>
      <c r="D35" s="65"/>
      <c r="E35" s="13"/>
      <c r="F35" s="13"/>
    </row>
    <row r="36" spans="1:13" x14ac:dyDescent="0.2">
      <c r="A36" s="9"/>
      <c r="B36" s="9"/>
      <c r="C36" s="9"/>
      <c r="D36" s="9"/>
      <c r="E36" s="9"/>
      <c r="F36" s="9"/>
      <c r="G36" s="9"/>
      <c r="H36" s="9"/>
      <c r="I36" s="9"/>
      <c r="J36" s="9"/>
      <c r="K36" s="5"/>
      <c r="L36" s="8"/>
    </row>
    <row r="37" spans="1:13" x14ac:dyDescent="0.2">
      <c r="A37" s="11" t="s">
        <v>33</v>
      </c>
      <c r="B37" s="11"/>
      <c r="C37" s="11"/>
      <c r="D37" s="11"/>
      <c r="E37" s="11"/>
      <c r="F37" s="8"/>
      <c r="G37" s="8"/>
      <c r="H37" s="8"/>
      <c r="I37" s="8"/>
      <c r="J37" s="8"/>
      <c r="K37" s="5"/>
    </row>
    <row r="38" spans="1:13" x14ac:dyDescent="0.2">
      <c r="A38" s="11"/>
      <c r="B38" s="11"/>
      <c r="C38" s="11"/>
      <c r="D38" s="11"/>
      <c r="E38" s="11"/>
      <c r="F38" s="8"/>
      <c r="G38" s="8"/>
      <c r="H38" s="8"/>
      <c r="I38" s="8"/>
      <c r="J38" s="8"/>
      <c r="K38" s="5"/>
    </row>
    <row r="39" spans="1:13" x14ac:dyDescent="0.2">
      <c r="A39" s="26" t="s">
        <v>34</v>
      </c>
      <c r="B39" s="26" t="s">
        <v>35</v>
      </c>
      <c r="C39" s="26" t="s">
        <v>36</v>
      </c>
      <c r="D39" s="26" t="s">
        <v>37</v>
      </c>
      <c r="E39" s="26" t="s">
        <v>38</v>
      </c>
      <c r="F39" s="12"/>
      <c r="G39" s="8"/>
      <c r="H39" s="8"/>
      <c r="I39" s="8"/>
      <c r="J39" s="8"/>
      <c r="K39" s="8"/>
    </row>
    <row r="40" spans="1:13" x14ac:dyDescent="0.2">
      <c r="A40" s="27">
        <v>1</v>
      </c>
      <c r="B40" s="31">
        <v>1</v>
      </c>
      <c r="C40" s="28" t="s">
        <v>69</v>
      </c>
      <c r="D40" s="15">
        <v>40089</v>
      </c>
      <c r="E40" s="29" t="s">
        <v>70</v>
      </c>
      <c r="F40" s="13"/>
      <c r="G40" s="8"/>
      <c r="H40" s="8"/>
      <c r="I40" s="8"/>
      <c r="J40" s="8"/>
      <c r="K40" s="8"/>
      <c r="L40" s="5"/>
      <c r="M40" s="8"/>
    </row>
    <row r="41" spans="1:13" x14ac:dyDescent="0.2">
      <c r="A41" s="27">
        <v>2</v>
      </c>
      <c r="B41" s="31">
        <v>1.1000000000000001</v>
      </c>
      <c r="C41" s="28" t="s">
        <v>69</v>
      </c>
      <c r="D41" s="16">
        <v>40586</v>
      </c>
      <c r="E41" s="29" t="s">
        <v>70</v>
      </c>
      <c r="F41" s="13"/>
      <c r="G41" s="8"/>
      <c r="H41" s="8"/>
      <c r="I41" s="8"/>
      <c r="J41" s="8"/>
      <c r="K41" s="8"/>
      <c r="L41" s="5"/>
      <c r="M41" s="8"/>
    </row>
    <row r="42" spans="1:13" x14ac:dyDescent="0.2">
      <c r="A42" s="27">
        <v>3</v>
      </c>
      <c r="B42" s="31">
        <v>2</v>
      </c>
      <c r="C42" s="28" t="s">
        <v>71</v>
      </c>
      <c r="D42" s="17">
        <v>41209</v>
      </c>
      <c r="E42" s="29" t="s">
        <v>72</v>
      </c>
      <c r="F42" s="13"/>
      <c r="G42" s="8"/>
      <c r="H42" s="8"/>
      <c r="I42" s="8"/>
      <c r="J42" s="8"/>
      <c r="K42" s="8"/>
      <c r="L42" s="5"/>
      <c r="M42" s="8"/>
    </row>
    <row r="43" spans="1:13" x14ac:dyDescent="0.2">
      <c r="A43" s="27">
        <v>4</v>
      </c>
      <c r="B43" s="31">
        <v>2.1</v>
      </c>
      <c r="C43" s="28" t="s">
        <v>71</v>
      </c>
      <c r="D43" s="16">
        <v>42214</v>
      </c>
      <c r="E43" s="29" t="s">
        <v>72</v>
      </c>
      <c r="F43" s="13"/>
      <c r="G43" s="8"/>
      <c r="H43" s="8"/>
      <c r="I43" s="8"/>
      <c r="J43" s="8"/>
      <c r="K43" s="8"/>
      <c r="L43" s="5"/>
    </row>
    <row r="44" spans="1:13" x14ac:dyDescent="0.2">
      <c r="A44" s="30"/>
      <c r="B44" s="32"/>
      <c r="C44" s="28"/>
      <c r="D44" s="17"/>
      <c r="E44" s="29"/>
      <c r="F44" s="8"/>
      <c r="G44" s="8"/>
      <c r="H44" s="8"/>
      <c r="I44" s="8"/>
      <c r="J44" s="8"/>
      <c r="K44" s="5"/>
      <c r="L44" s="5"/>
    </row>
    <row r="45" spans="1:13" x14ac:dyDescent="0.2">
      <c r="A45" s="30"/>
      <c r="B45" s="30"/>
      <c r="C45" s="30"/>
      <c r="D45" s="30"/>
      <c r="E45" s="30"/>
      <c r="F45" s="8"/>
      <c r="G45" s="8"/>
      <c r="H45" s="8"/>
      <c r="I45" s="8"/>
      <c r="J45" s="8"/>
      <c r="K45" s="5"/>
    </row>
    <row r="46" spans="1:13" x14ac:dyDescent="0.2">
      <c r="A46" s="30"/>
      <c r="B46" s="30"/>
      <c r="C46" s="30"/>
      <c r="D46" s="30"/>
      <c r="E46" s="30"/>
      <c r="F46" s="8"/>
      <c r="G46" s="8"/>
      <c r="H46" s="8"/>
      <c r="I46" s="8"/>
      <c r="J46" s="8"/>
      <c r="K46" s="5"/>
    </row>
    <row r="47" spans="1:13" x14ac:dyDescent="0.2">
      <c r="A47" s="5"/>
      <c r="B47" s="5"/>
      <c r="C47" s="5"/>
      <c r="D47" s="5"/>
      <c r="E47" s="5"/>
      <c r="F47" s="5"/>
      <c r="G47" s="5"/>
      <c r="H47" s="8"/>
      <c r="I47" s="8"/>
      <c r="J47" s="8"/>
      <c r="K47" s="5"/>
    </row>
  </sheetData>
  <mergeCells count="18">
    <mergeCell ref="C24:D24"/>
    <mergeCell ref="C3:F3"/>
    <mergeCell ref="B4:H4"/>
    <mergeCell ref="B5:G5"/>
    <mergeCell ref="B7:D7"/>
    <mergeCell ref="F7:H7"/>
    <mergeCell ref="B8:D8"/>
    <mergeCell ref="F8:H8"/>
    <mergeCell ref="B17:H18"/>
    <mergeCell ref="C20:G20"/>
    <mergeCell ref="C21:D21"/>
    <mergeCell ref="C22:D22"/>
    <mergeCell ref="C23:D23"/>
    <mergeCell ref="C25:D25"/>
    <mergeCell ref="C26:D26"/>
    <mergeCell ref="C27:D27"/>
    <mergeCell ref="B30:C30"/>
    <mergeCell ref="C31:F31"/>
  </mergeCells>
  <conditionalFormatting sqref="D35">
    <cfRule type="cellIs" dxfId="12" priority="4" stopIfTrue="1" operator="between">
      <formula>1</formula>
      <formula>3</formula>
    </cfRule>
    <cfRule type="cellIs" dxfId="11" priority="5" stopIfTrue="1" operator="between">
      <formula>5</formula>
      <formula>9</formula>
    </cfRule>
    <cfRule type="cellIs" dxfId="10" priority="6" stopIfTrue="1" operator="between">
      <formula>15</formula>
      <formula>25</formula>
    </cfRule>
  </conditionalFormatting>
  <conditionalFormatting sqref="D41:D44">
    <cfRule type="cellIs" dxfId="9" priority="1" stopIfTrue="1" operator="between">
      <formula>1</formula>
      <formula>3</formula>
    </cfRule>
    <cfRule type="cellIs" dxfId="8" priority="2" stopIfTrue="1" operator="between">
      <formula>5</formula>
      <formula>9</formula>
    </cfRule>
    <cfRule type="cellIs" dxfId="7" priority="3" stopIfTrue="1" operator="between">
      <formula>15</formula>
      <formula>25</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tabSelected="1" zoomScale="140" zoomScaleNormal="140" workbookViewId="0">
      <pane ySplit="3" topLeftCell="A4" activePane="bottomLeft" state="frozen"/>
      <selection pane="bottomLeft" activeCell="D14" sqref="D14"/>
    </sheetView>
  </sheetViews>
  <sheetFormatPr defaultRowHeight="12.75" x14ac:dyDescent="0.2"/>
  <cols>
    <col min="1" max="1" width="4.28515625" style="68" customWidth="1"/>
    <col min="2" max="2" width="11.140625" style="68" customWidth="1"/>
    <col min="3" max="3" width="29" style="68" customWidth="1"/>
    <col min="4" max="4" width="17.5703125" style="68" customWidth="1"/>
    <col min="5" max="5" width="10" style="68" customWidth="1"/>
    <col min="6" max="6" width="6.7109375" style="68" customWidth="1"/>
    <col min="7" max="9" width="3.5703125" style="68" customWidth="1"/>
    <col min="10" max="10" width="5.28515625" style="68" customWidth="1"/>
    <col min="11" max="11" width="6.140625" style="68" customWidth="1"/>
    <col min="12" max="12" width="13.140625" style="68" customWidth="1"/>
    <col min="13" max="13" width="30.42578125" style="68" customWidth="1"/>
    <col min="14" max="14" width="11" style="68" bestFit="1" customWidth="1"/>
    <col min="15" max="15" width="16.28515625" style="68" bestFit="1" customWidth="1"/>
    <col min="16" max="16" width="10.7109375" style="68" customWidth="1"/>
    <col min="17" max="17" width="20.5703125" style="68" bestFit="1" customWidth="1"/>
    <col min="18" max="16384" width="9.140625" style="68"/>
  </cols>
  <sheetData>
    <row r="1" spans="1:18" x14ac:dyDescent="0.2">
      <c r="A1" s="123" t="s">
        <v>2</v>
      </c>
      <c r="B1" s="124"/>
      <c r="C1" s="124"/>
      <c r="D1" s="124"/>
      <c r="E1" s="125" t="s">
        <v>114</v>
      </c>
      <c r="F1" s="125"/>
      <c r="G1" s="125"/>
      <c r="H1" s="125"/>
      <c r="I1" s="125"/>
      <c r="J1" s="125"/>
      <c r="K1" s="125"/>
      <c r="M1" s="69"/>
      <c r="N1" s="69"/>
      <c r="O1" s="69"/>
      <c r="P1" s="70"/>
      <c r="Q1" s="71" t="s">
        <v>108</v>
      </c>
      <c r="R1" s="72">
        <v>42376</v>
      </c>
    </row>
    <row r="2" spans="1:18" ht="13.5" thickBot="1" x14ac:dyDescent="0.25">
      <c r="A2" s="118" t="s">
        <v>3</v>
      </c>
      <c r="B2" s="119"/>
      <c r="C2" s="119"/>
      <c r="D2" s="73"/>
      <c r="E2" s="74" t="s">
        <v>96</v>
      </c>
      <c r="F2" s="75"/>
      <c r="M2" s="69"/>
      <c r="N2" s="69"/>
      <c r="O2" s="69"/>
      <c r="P2" s="70"/>
      <c r="Q2" s="69"/>
      <c r="R2" s="69"/>
    </row>
    <row r="3" spans="1:18" ht="36" x14ac:dyDescent="0.2">
      <c r="A3" s="76" t="s">
        <v>4</v>
      </c>
      <c r="B3" s="77" t="s">
        <v>110</v>
      </c>
      <c r="C3" s="78" t="s">
        <v>97</v>
      </c>
      <c r="D3" s="78" t="s">
        <v>115</v>
      </c>
      <c r="E3" s="79" t="s">
        <v>5</v>
      </c>
      <c r="F3" s="79" t="s">
        <v>1</v>
      </c>
      <c r="G3" s="120" t="s">
        <v>98</v>
      </c>
      <c r="H3" s="121"/>
      <c r="I3" s="121"/>
      <c r="J3" s="122"/>
      <c r="K3" s="80" t="s">
        <v>99</v>
      </c>
      <c r="L3" s="81" t="s">
        <v>6</v>
      </c>
      <c r="M3" s="79" t="s">
        <v>109</v>
      </c>
      <c r="N3" s="79" t="s">
        <v>100</v>
      </c>
      <c r="O3" s="79" t="s">
        <v>111</v>
      </c>
      <c r="P3" s="82" t="s">
        <v>101</v>
      </c>
      <c r="Q3" s="79" t="s">
        <v>7</v>
      </c>
      <c r="R3" s="83" t="s">
        <v>0</v>
      </c>
    </row>
    <row r="4" spans="1:18" s="90" customFormat="1" x14ac:dyDescent="0.2">
      <c r="A4" s="84"/>
      <c r="B4" s="84"/>
      <c r="C4" s="85"/>
      <c r="D4" s="85"/>
      <c r="E4" s="86"/>
      <c r="F4" s="86"/>
      <c r="G4" s="87" t="s">
        <v>102</v>
      </c>
      <c r="H4" s="87" t="s">
        <v>103</v>
      </c>
      <c r="I4" s="87" t="s">
        <v>104</v>
      </c>
      <c r="J4" s="87" t="s">
        <v>105</v>
      </c>
      <c r="K4" s="88"/>
      <c r="L4" s="88"/>
      <c r="M4" s="86"/>
      <c r="N4" s="86"/>
      <c r="O4" s="86"/>
      <c r="P4" s="89"/>
      <c r="Q4" s="86"/>
      <c r="R4" s="87"/>
    </row>
    <row r="5" spans="1:18" ht="48" x14ac:dyDescent="0.2">
      <c r="A5" s="91">
        <v>1</v>
      </c>
      <c r="B5" s="93">
        <v>42381</v>
      </c>
      <c r="C5" s="67" t="s">
        <v>116</v>
      </c>
      <c r="D5" s="67" t="s">
        <v>117</v>
      </c>
      <c r="E5" s="67">
        <v>3</v>
      </c>
      <c r="F5" s="67">
        <v>3</v>
      </c>
      <c r="G5" s="67">
        <v>3</v>
      </c>
      <c r="H5" s="67">
        <v>3</v>
      </c>
      <c r="I5" s="67">
        <v>3</v>
      </c>
      <c r="J5" s="67">
        <f t="shared" ref="J5:J13" si="0">MAX(G5:I5)</f>
        <v>3</v>
      </c>
      <c r="K5" s="67">
        <f>SUM(E5,F5,J5)</f>
        <v>9</v>
      </c>
      <c r="L5" s="67" t="str">
        <f>IF(K5&lt;=5,"Avoid",(IF(K5&lt;=7,"Accept",(IF(K5&lt;=10,"Mitigate to be Planned","Mitigate Immediate")))))</f>
        <v>Mitigate to be Planned</v>
      </c>
      <c r="M5" s="67" t="s">
        <v>123</v>
      </c>
      <c r="N5" s="67" t="s">
        <v>133</v>
      </c>
      <c r="O5" s="67" t="s">
        <v>112</v>
      </c>
      <c r="P5" s="67"/>
      <c r="Q5" s="67"/>
      <c r="R5" s="67"/>
    </row>
    <row r="6" spans="1:18" ht="72" x14ac:dyDescent="0.2">
      <c r="A6" s="91">
        <v>2</v>
      </c>
      <c r="B6" s="93">
        <v>42381</v>
      </c>
      <c r="C6" s="67" t="s">
        <v>118</v>
      </c>
      <c r="D6" s="67" t="s">
        <v>117</v>
      </c>
      <c r="E6" s="67">
        <v>3</v>
      </c>
      <c r="F6" s="67">
        <v>3</v>
      </c>
      <c r="G6" s="67">
        <v>2</v>
      </c>
      <c r="H6" s="67">
        <v>2</v>
      </c>
      <c r="I6" s="67">
        <v>2</v>
      </c>
      <c r="J6" s="67">
        <f t="shared" si="0"/>
        <v>2</v>
      </c>
      <c r="K6" s="67">
        <f>SUM(E6,F6,J6)</f>
        <v>8</v>
      </c>
      <c r="L6" s="67" t="str">
        <f>IF(K6&lt;=5,"Avoid",(IF(K6&lt;=7,"Accept",(IF(K6&lt;=10,"Mitigate to be Planned","Mitigate Immediate")))))</f>
        <v>Mitigate to be Planned</v>
      </c>
      <c r="M6" s="67" t="s">
        <v>132</v>
      </c>
      <c r="N6" s="67"/>
      <c r="O6" s="67" t="s">
        <v>112</v>
      </c>
      <c r="P6" s="67"/>
      <c r="Q6" s="67"/>
      <c r="R6" s="67"/>
    </row>
    <row r="7" spans="1:18" ht="132" x14ac:dyDescent="0.2">
      <c r="A7" s="91">
        <v>4</v>
      </c>
      <c r="B7" s="93">
        <v>42381</v>
      </c>
      <c r="C7" s="67" t="s">
        <v>119</v>
      </c>
      <c r="D7" s="67" t="s">
        <v>117</v>
      </c>
      <c r="E7" s="67">
        <v>3</v>
      </c>
      <c r="F7" s="67">
        <v>2</v>
      </c>
      <c r="G7" s="67">
        <v>1</v>
      </c>
      <c r="H7" s="67">
        <v>2</v>
      </c>
      <c r="I7" s="67">
        <v>2</v>
      </c>
      <c r="J7" s="67">
        <f t="shared" si="0"/>
        <v>2</v>
      </c>
      <c r="K7" s="67">
        <f t="shared" ref="K7:K13" si="1">SUM(E7,F7,J7)</f>
        <v>7</v>
      </c>
      <c r="L7" s="67" t="str">
        <f t="shared" ref="L7:L13" si="2">IF(K7&lt;=5,"Avoid",(IF(K7&lt;=7,"Accept",(IF(K7&lt;=10,"Mitigate to be Planned","Mitigate Immediate")))))</f>
        <v>Accept</v>
      </c>
      <c r="M7" s="67"/>
      <c r="N7" s="67"/>
      <c r="O7" s="67" t="s">
        <v>112</v>
      </c>
      <c r="P7" s="67"/>
      <c r="Q7" s="67" t="s">
        <v>137</v>
      </c>
      <c r="R7" s="67"/>
    </row>
    <row r="8" spans="1:18" ht="48" x14ac:dyDescent="0.2">
      <c r="A8" s="91">
        <v>5</v>
      </c>
      <c r="B8" s="93">
        <v>42389</v>
      </c>
      <c r="C8" s="67" t="s">
        <v>120</v>
      </c>
      <c r="D8" s="67" t="s">
        <v>117</v>
      </c>
      <c r="E8" s="67">
        <v>3</v>
      </c>
      <c r="F8" s="67">
        <v>1</v>
      </c>
      <c r="G8" s="67">
        <v>1</v>
      </c>
      <c r="H8" s="67">
        <v>2</v>
      </c>
      <c r="I8" s="67">
        <v>2</v>
      </c>
      <c r="J8" s="67">
        <f t="shared" si="0"/>
        <v>2</v>
      </c>
      <c r="K8" s="67">
        <f t="shared" si="1"/>
        <v>6</v>
      </c>
      <c r="L8" s="67" t="str">
        <f t="shared" si="2"/>
        <v>Accept</v>
      </c>
      <c r="M8" s="67" t="s">
        <v>124</v>
      </c>
      <c r="N8" s="67"/>
      <c r="O8" s="67" t="s">
        <v>112</v>
      </c>
      <c r="P8" s="67"/>
      <c r="Q8" s="67"/>
      <c r="R8" s="67"/>
    </row>
    <row r="9" spans="1:18" ht="36" x14ac:dyDescent="0.2">
      <c r="A9" s="91">
        <v>6</v>
      </c>
      <c r="B9" s="93">
        <v>42389</v>
      </c>
      <c r="C9" s="67" t="s">
        <v>121</v>
      </c>
      <c r="D9" s="67" t="s">
        <v>117</v>
      </c>
      <c r="E9" s="67">
        <v>2</v>
      </c>
      <c r="F9" s="67">
        <v>1</v>
      </c>
      <c r="G9" s="67">
        <v>1</v>
      </c>
      <c r="H9" s="67">
        <v>2</v>
      </c>
      <c r="I9" s="67">
        <v>2</v>
      </c>
      <c r="J9" s="67">
        <f t="shared" si="0"/>
        <v>2</v>
      </c>
      <c r="K9" s="67">
        <f t="shared" si="1"/>
        <v>5</v>
      </c>
      <c r="L9" s="67" t="str">
        <f t="shared" si="2"/>
        <v>Avoid</v>
      </c>
      <c r="M9" s="67" t="s">
        <v>125</v>
      </c>
      <c r="N9" s="67"/>
      <c r="O9" s="67" t="s">
        <v>112</v>
      </c>
      <c r="P9" s="67"/>
      <c r="Q9" s="67"/>
      <c r="R9" s="67"/>
    </row>
    <row r="10" spans="1:18" ht="36" x14ac:dyDescent="0.2">
      <c r="A10" s="91">
        <v>7</v>
      </c>
      <c r="B10" s="93">
        <v>42389</v>
      </c>
      <c r="C10" s="67" t="s">
        <v>122</v>
      </c>
      <c r="D10" s="67" t="s">
        <v>117</v>
      </c>
      <c r="E10" s="67">
        <v>3</v>
      </c>
      <c r="F10" s="67">
        <v>1</v>
      </c>
      <c r="G10" s="67">
        <v>1</v>
      </c>
      <c r="H10" s="67">
        <v>2</v>
      </c>
      <c r="I10" s="67">
        <v>2</v>
      </c>
      <c r="J10" s="67">
        <f t="shared" si="0"/>
        <v>2</v>
      </c>
      <c r="K10" s="67">
        <f t="shared" si="1"/>
        <v>6</v>
      </c>
      <c r="L10" s="67" t="str">
        <f t="shared" si="2"/>
        <v>Accept</v>
      </c>
      <c r="M10" s="67" t="s">
        <v>126</v>
      </c>
      <c r="N10" s="67"/>
      <c r="O10" s="67" t="s">
        <v>112</v>
      </c>
      <c r="P10" s="67"/>
      <c r="Q10" s="67"/>
      <c r="R10" s="67"/>
    </row>
    <row r="11" spans="1:18" ht="96" x14ac:dyDescent="0.2">
      <c r="A11" s="91">
        <v>8</v>
      </c>
      <c r="B11" s="93">
        <v>42373</v>
      </c>
      <c r="C11" s="67" t="s">
        <v>128</v>
      </c>
      <c r="D11" s="67" t="s">
        <v>127</v>
      </c>
      <c r="E11" s="67">
        <v>2</v>
      </c>
      <c r="F11" s="67">
        <v>3</v>
      </c>
      <c r="G11" s="67">
        <v>3</v>
      </c>
      <c r="H11" s="67">
        <v>2</v>
      </c>
      <c r="I11" s="67">
        <v>2</v>
      </c>
      <c r="J11" s="67">
        <f t="shared" si="0"/>
        <v>3</v>
      </c>
      <c r="K11" s="67">
        <f t="shared" si="1"/>
        <v>8</v>
      </c>
      <c r="L11" s="67" t="str">
        <f t="shared" si="2"/>
        <v>Mitigate to be Planned</v>
      </c>
      <c r="M11" s="67" t="s">
        <v>135</v>
      </c>
      <c r="N11" s="67"/>
      <c r="O11" s="67" t="s">
        <v>112</v>
      </c>
      <c r="P11" s="94">
        <v>42381</v>
      </c>
      <c r="Q11" s="67" t="s">
        <v>136</v>
      </c>
      <c r="R11" s="67" t="s">
        <v>106</v>
      </c>
    </row>
    <row r="12" spans="1:18" ht="108" x14ac:dyDescent="0.2">
      <c r="A12" s="91">
        <v>9</v>
      </c>
      <c r="B12" s="93">
        <v>42389</v>
      </c>
      <c r="C12" s="67" t="s">
        <v>129</v>
      </c>
      <c r="D12" s="67" t="s">
        <v>127</v>
      </c>
      <c r="E12" s="67">
        <v>2</v>
      </c>
      <c r="F12" s="67">
        <v>3</v>
      </c>
      <c r="G12" s="67">
        <v>3</v>
      </c>
      <c r="H12" s="67">
        <v>2</v>
      </c>
      <c r="I12" s="67">
        <v>2</v>
      </c>
      <c r="J12" s="67">
        <f t="shared" si="0"/>
        <v>3</v>
      </c>
      <c r="K12" s="67">
        <f t="shared" si="1"/>
        <v>8</v>
      </c>
      <c r="L12" s="67" t="str">
        <f t="shared" si="2"/>
        <v>Mitigate to be Planned</v>
      </c>
      <c r="M12" s="67" t="s">
        <v>138</v>
      </c>
      <c r="N12" s="67"/>
      <c r="O12" s="67" t="s">
        <v>112</v>
      </c>
      <c r="P12" s="67"/>
      <c r="Q12" s="67"/>
      <c r="R12" s="67"/>
    </row>
    <row r="13" spans="1:18" ht="72" x14ac:dyDescent="0.2">
      <c r="A13" s="91">
        <v>10</v>
      </c>
      <c r="B13" s="93">
        <v>42389</v>
      </c>
      <c r="C13" s="67" t="s">
        <v>131</v>
      </c>
      <c r="D13" s="67" t="s">
        <v>127</v>
      </c>
      <c r="E13" s="67">
        <v>2</v>
      </c>
      <c r="F13" s="67">
        <v>1</v>
      </c>
      <c r="G13" s="67">
        <v>3</v>
      </c>
      <c r="H13" s="67">
        <v>2</v>
      </c>
      <c r="I13" s="67">
        <v>2</v>
      </c>
      <c r="J13" s="67">
        <f t="shared" si="0"/>
        <v>3</v>
      </c>
      <c r="K13" s="67">
        <f t="shared" si="1"/>
        <v>6</v>
      </c>
      <c r="L13" s="67" t="str">
        <f t="shared" si="2"/>
        <v>Accept</v>
      </c>
      <c r="M13" s="67" t="s">
        <v>130</v>
      </c>
      <c r="N13" s="67"/>
      <c r="O13" s="67" t="s">
        <v>112</v>
      </c>
      <c r="P13" s="67"/>
      <c r="Q13" s="67"/>
      <c r="R13" s="67"/>
    </row>
    <row r="14" spans="1:18" ht="48" x14ac:dyDescent="0.2">
      <c r="A14" s="91">
        <v>11</v>
      </c>
      <c r="B14" s="93">
        <v>42389</v>
      </c>
      <c r="C14" s="67" t="s">
        <v>107</v>
      </c>
      <c r="D14" s="67" t="s">
        <v>127</v>
      </c>
      <c r="E14" s="67">
        <v>2</v>
      </c>
      <c r="F14" s="67">
        <v>2</v>
      </c>
      <c r="G14" s="67">
        <v>1</v>
      </c>
      <c r="H14" s="67">
        <v>1</v>
      </c>
      <c r="I14" s="67">
        <v>3</v>
      </c>
      <c r="J14" s="67">
        <f t="shared" ref="J14" si="3">MAX(G14:I14)</f>
        <v>3</v>
      </c>
      <c r="K14" s="67">
        <f>SUM(E14,F14,J14)</f>
        <v>7</v>
      </c>
      <c r="L14" s="67" t="str">
        <f>IF(K14&lt;=5,"Avoid",(IF(K14&lt;=7,"Accept",(IF(K14&lt;=10,"Mitigate to be Planned","Mitigate Immediate")))))</f>
        <v>Accept</v>
      </c>
      <c r="M14" s="67"/>
      <c r="N14" s="67"/>
      <c r="O14" s="67" t="s">
        <v>112</v>
      </c>
      <c r="P14" s="94">
        <v>42401</v>
      </c>
      <c r="Q14" s="67" t="s">
        <v>134</v>
      </c>
      <c r="R14" s="67" t="s">
        <v>106</v>
      </c>
    </row>
    <row r="15" spans="1:18" x14ac:dyDescent="0.2">
      <c r="K15" s="92"/>
      <c r="L15" s="92"/>
    </row>
    <row r="16" spans="1:18" x14ac:dyDescent="0.2">
      <c r="K16" s="92"/>
      <c r="L16" s="92"/>
    </row>
    <row r="17" spans="11:12" x14ac:dyDescent="0.2">
      <c r="K17" s="92"/>
      <c r="L17" s="92"/>
    </row>
    <row r="18" spans="11:12" x14ac:dyDescent="0.2">
      <c r="K18" s="92"/>
      <c r="L18" s="92"/>
    </row>
    <row r="19" spans="11:12" x14ac:dyDescent="0.2">
      <c r="K19" s="92"/>
      <c r="L19" s="92"/>
    </row>
    <row r="20" spans="11:12" x14ac:dyDescent="0.2">
      <c r="K20" s="92"/>
      <c r="L20" s="92"/>
    </row>
    <row r="21" spans="11:12" x14ac:dyDescent="0.2">
      <c r="K21" s="92"/>
      <c r="L21" s="92"/>
    </row>
    <row r="22" spans="11:12" x14ac:dyDescent="0.2">
      <c r="K22" s="92"/>
      <c r="L22" s="92"/>
    </row>
    <row r="23" spans="11:12" x14ac:dyDescent="0.2">
      <c r="K23" s="92"/>
      <c r="L23" s="92"/>
    </row>
    <row r="24" spans="11:12" x14ac:dyDescent="0.2">
      <c r="K24" s="92"/>
      <c r="L24" s="92"/>
    </row>
    <row r="25" spans="11:12" x14ac:dyDescent="0.2">
      <c r="K25" s="92"/>
      <c r="L25" s="92"/>
    </row>
    <row r="26" spans="11:12" x14ac:dyDescent="0.2">
      <c r="K26" s="92"/>
      <c r="L26" s="92"/>
    </row>
    <row r="27" spans="11:12" x14ac:dyDescent="0.2">
      <c r="K27" s="92"/>
      <c r="L27" s="92"/>
    </row>
    <row r="28" spans="11:12" x14ac:dyDescent="0.2">
      <c r="K28" s="92"/>
      <c r="L28" s="92"/>
    </row>
    <row r="29" spans="11:12" x14ac:dyDescent="0.2">
      <c r="K29" s="92"/>
      <c r="L29" s="92"/>
    </row>
    <row r="30" spans="11:12" x14ac:dyDescent="0.2">
      <c r="K30" s="92"/>
      <c r="L30" s="92"/>
    </row>
    <row r="31" spans="11:12" x14ac:dyDescent="0.2">
      <c r="K31" s="92"/>
      <c r="L31" s="92"/>
    </row>
    <row r="32" spans="11:12" x14ac:dyDescent="0.2">
      <c r="K32" s="92"/>
      <c r="L32" s="92"/>
    </row>
    <row r="33" spans="11:12" x14ac:dyDescent="0.2">
      <c r="K33" s="92"/>
      <c r="L33" s="92"/>
    </row>
    <row r="34" spans="11:12" x14ac:dyDescent="0.2">
      <c r="K34" s="92"/>
      <c r="L34" s="92"/>
    </row>
  </sheetData>
  <mergeCells count="4">
    <mergeCell ref="A2:C2"/>
    <mergeCell ref="G3:J3"/>
    <mergeCell ref="A1:D1"/>
    <mergeCell ref="E1:K1"/>
  </mergeCells>
  <phoneticPr fontId="3" type="noConversion"/>
  <conditionalFormatting sqref="K5:K14">
    <cfRule type="cellIs" dxfId="6" priority="12" operator="between">
      <formula>11</formula>
      <formula>12</formula>
    </cfRule>
    <cfRule type="cellIs" dxfId="5" priority="13" operator="between">
      <formula>8</formula>
      <formula>10</formula>
    </cfRule>
    <cfRule type="cellIs" dxfId="4" priority="14" operator="between">
      <formula>3</formula>
      <formula>7</formula>
    </cfRule>
  </conditionalFormatting>
  <conditionalFormatting sqref="L5:L14">
    <cfRule type="containsText" dxfId="3" priority="8" operator="containsText" text="Mitigate Immediate">
      <formula>NOT(ISERROR(SEARCH("Mitigate Immediate",L5)))</formula>
    </cfRule>
    <cfRule type="containsText" dxfId="2" priority="9" operator="containsText" text="Mitigate to be Planned">
      <formula>NOT(ISERROR(SEARCH("Mitigate to be Planned",L5)))</formula>
    </cfRule>
    <cfRule type="containsText" dxfId="1" priority="10" operator="containsText" text="Accept">
      <formula>NOT(ISERROR(SEARCH("Accept",L5)))</formula>
    </cfRule>
    <cfRule type="containsText" dxfId="0" priority="11" operator="containsText" text="Avoid">
      <formula>NOT(ISERROR(SEARCH("Avoid",L5)))</formula>
    </cfRule>
  </conditionalFormatting>
  <dataValidations count="7">
    <dataValidation type="list" allowBlank="1" showInputMessage="1" showErrorMessage="1" sqref="R5:R14">
      <formula1>"Active, Inactive"</formula1>
    </dataValidation>
    <dataValidation type="list" allowBlank="1" showInputMessage="1" showErrorMessage="1" sqref="O5:O14">
      <formula1>Category</formula1>
    </dataValidation>
    <dataValidation type="list" allowBlank="1" showInputMessage="1" showErrorMessage="1" sqref="L5:L14">
      <formula1>#REF!</formula1>
    </dataValidation>
    <dataValidation type="list" allowBlank="1" showInputMessage="1" showErrorMessage="1" sqref="G5:I14">
      <formula1>"1,2,3"</formula1>
    </dataValidation>
    <dataValidation type="list" allowBlank="1" showInputMessage="1" showErrorMessage="1" sqref="E5:E14">
      <formula1>"1,2,3,4,5"</formula1>
    </dataValidation>
    <dataValidation type="list" allowBlank="1" showInputMessage="1" showErrorMessage="1" sqref="F5:F14">
      <formula1>"1,2,3,4"</formula1>
    </dataValidation>
    <dataValidation type="list" allowBlank="1" showInputMessage="1" showErrorMessage="1" sqref="D5:D14">
      <formula1>"Digitization, POC, Infrastructure, Application Development, NOIDA"</formula1>
    </dataValidation>
  </dataValidations>
  <pageMargins left="0.75" right="0.75" top="1" bottom="1" header="0.5" footer="0.5"/>
  <pageSetup paperSize="9" orientation="portrait" verticalDpi="15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B1" workbookViewId="0">
      <pane ySplit="1" topLeftCell="A2" activePane="bottomLeft" state="frozen"/>
      <selection pane="bottomLeft" activeCell="B8" sqref="B8"/>
    </sheetView>
  </sheetViews>
  <sheetFormatPr defaultRowHeight="15" x14ac:dyDescent="0.25"/>
  <cols>
    <col min="1" max="1" width="28.42578125" style="1" customWidth="1"/>
    <col min="2" max="2" width="35.140625" style="1" customWidth="1"/>
    <col min="3" max="3" width="22" style="1" customWidth="1"/>
    <col min="4" max="4" width="15.140625" style="1" customWidth="1"/>
    <col min="5" max="5" width="62.5703125" style="1" customWidth="1"/>
    <col min="6" max="16384" width="9.140625" style="1"/>
  </cols>
  <sheetData>
    <row r="1" spans="1:5" x14ac:dyDescent="0.25">
      <c r="A1" s="1" t="s">
        <v>9</v>
      </c>
      <c r="B1" s="1" t="s">
        <v>30</v>
      </c>
      <c r="C1" s="1" t="s">
        <v>0</v>
      </c>
      <c r="D1" s="1" t="s">
        <v>29</v>
      </c>
      <c r="E1" s="1" t="s">
        <v>28</v>
      </c>
    </row>
    <row r="2" spans="1:5" x14ac:dyDescent="0.25">
      <c r="A2" s="1" t="s">
        <v>27</v>
      </c>
      <c r="B2" s="66" t="s">
        <v>112</v>
      </c>
      <c r="D2" s="1" t="s">
        <v>26</v>
      </c>
      <c r="E2" s="1" t="s">
        <v>25</v>
      </c>
    </row>
    <row r="3" spans="1:5" x14ac:dyDescent="0.25">
      <c r="A3" s="1" t="s">
        <v>24</v>
      </c>
      <c r="B3" s="66" t="s">
        <v>113</v>
      </c>
      <c r="D3" s="1" t="s">
        <v>23</v>
      </c>
      <c r="E3" s="1" t="s">
        <v>22</v>
      </c>
    </row>
    <row r="4" spans="1:5" x14ac:dyDescent="0.25">
      <c r="A4" s="1" t="s">
        <v>21</v>
      </c>
      <c r="D4" s="1" t="s">
        <v>8</v>
      </c>
      <c r="E4" s="1" t="s">
        <v>20</v>
      </c>
    </row>
    <row r="5" spans="1:5" x14ac:dyDescent="0.25">
      <c r="A5" s="1" t="s">
        <v>19</v>
      </c>
      <c r="D5" s="1" t="s">
        <v>18</v>
      </c>
      <c r="E5" s="1" t="s">
        <v>17</v>
      </c>
    </row>
    <row r="6" spans="1:5" x14ac:dyDescent="0.25">
      <c r="A6" s="1" t="s">
        <v>16</v>
      </c>
      <c r="D6" s="1" t="s">
        <v>15</v>
      </c>
      <c r="E6" s="1" t="s">
        <v>14</v>
      </c>
    </row>
    <row r="7" spans="1:5" x14ac:dyDescent="0.25">
      <c r="A7" s="1" t="s">
        <v>13</v>
      </c>
    </row>
    <row r="8" spans="1:5" x14ac:dyDescent="0.25">
      <c r="A8" s="1" t="s">
        <v>12</v>
      </c>
    </row>
    <row r="11" spans="1:5" x14ac:dyDescent="0.25">
      <c r="D11" s="1" t="s">
        <v>11</v>
      </c>
      <c r="E11"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4</vt:i4>
      </vt:variant>
    </vt:vector>
  </HeadingPairs>
  <TitlesOfParts>
    <vt:vector size="8" baseType="lpstr">
      <vt:lpstr>Instruction</vt:lpstr>
      <vt:lpstr>Risk Register</vt:lpstr>
      <vt:lpstr>ListVal (2)</vt:lpstr>
      <vt:lpstr>Chart1</vt:lpstr>
      <vt:lpstr>Category</vt:lpstr>
      <vt:lpstr>'ListVal (2)'!Sources</vt:lpstr>
      <vt:lpstr>'ListVal (2)'!Status</vt:lpstr>
      <vt:lpstr>'ListVal (2)'!Strategy</vt:lpstr>
    </vt:vector>
  </TitlesOfParts>
  <Company>SVAM International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ArtCore Project</dc:title>
  <dc:creator>Rohitash Singh</dc:creator>
  <cp:lastModifiedBy>Vishal Shukla</cp:lastModifiedBy>
  <dcterms:created xsi:type="dcterms:W3CDTF">2007-06-13T19:30:18Z</dcterms:created>
  <dcterms:modified xsi:type="dcterms:W3CDTF">2016-05-18T13:35:32Z</dcterms:modified>
</cp:coreProperties>
</file>